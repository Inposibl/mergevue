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PROVENANCE" sheetId="1" state="visible" r:id="rId1"/>
    <sheet name="SEALED_PREDICTIONS" sheetId="2" state="visible" r:id="rId2"/>
    <sheet name="VERIFICATION_LOG" sheetId="3" state="visible" r:id="rId3"/>
    <sheet name="CALIBRATION_LOG" sheetId="4" state="visible" r:id="rId4"/>
    <sheet name="ACCURACY_DASHBOARD" sheetId="5" state="visible" r:id="rId5"/>
    <sheet name="AGENT_READ_INSTRUCTIONS" sheetId="6" state="visible" r:id="rId6"/>
    <sheet name="Schema_Methodology_Dependencies" sheetId="7" state="visible" r:id="rId7"/>
    <sheet name="v3_1_Build_Notes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2E4057"/>
      <sz val="10"/>
    </font>
    <font>
      <name val="Arial"/>
      <charset val="1"/>
      <family val="0"/>
      <b val="1"/>
      <i val="1"/>
      <color rgb="FF7A1A1A"/>
      <sz val="9"/>
    </font>
    <font>
      <name val="Arial"/>
      <charset val="1"/>
      <family val="0"/>
      <i val="1"/>
      <color rgb="FF4A6580"/>
      <sz val="9"/>
    </font>
    <font>
      <name val="Arial"/>
      <charset val="1"/>
      <family val="0"/>
      <i val="1"/>
      <color rgb="FF1B4F2A"/>
      <sz val="9"/>
    </font>
    <font>
      <name val="Arial"/>
      <charset val="1"/>
      <family val="0"/>
      <color rgb="FF1A1A1A"/>
      <sz val="10"/>
    </font>
    <font>
      <name val="Arial"/>
      <charset val="1"/>
      <family val="0"/>
      <i val="1"/>
      <color rgb="FF5C5C5C"/>
      <sz val="9"/>
    </font>
    <font>
      <name val="Arial"/>
      <charset val="1"/>
      <family val="0"/>
      <i val="1"/>
      <color rgb="FF2E4057"/>
      <sz val="9"/>
    </font>
    <font>
      <name val="Arial"/>
      <charset val="1"/>
      <family val="0"/>
      <b val="1"/>
      <color rgb="FF0F1923"/>
      <sz val="10"/>
    </font>
    <font>
      <name val="Arial"/>
      <charset val="1"/>
      <family val="0"/>
      <color rgb="FF2E4057"/>
      <sz val="9"/>
    </font>
    <font>
      <name val="Arial"/>
      <charset val="1"/>
      <family val="0"/>
      <b val="1"/>
      <color rgb="FF0F1923"/>
      <sz val="12"/>
    </font>
    <font>
      <name val="Arial"/>
      <charset val="1"/>
      <family val="0"/>
      <b val="1"/>
      <color rgb="FF1B4F2A"/>
      <sz val="14"/>
    </font>
    <font>
      <name val="Arial"/>
      <charset val="1"/>
      <family val="0"/>
      <i val="1"/>
      <color rgb="FF4A6580"/>
      <sz val="10"/>
    </font>
    <font>
      <name val="Arial"/>
      <charset val="1"/>
      <family val="0"/>
      <color rgb="FF1B4F2A"/>
      <sz val="10"/>
    </font>
    <font>
      <name val="Arial"/>
      <charset val="1"/>
      <family val="0"/>
      <color rgb="FF7A1A1A"/>
      <sz val="10"/>
    </font>
    <font>
      <name val="Arial"/>
      <charset val="1"/>
      <family val="0"/>
      <b val="1"/>
      <color rgb="FF1B4F2A"/>
      <sz val="11"/>
    </font>
    <font>
      <name val="Arial"/>
      <charset val="1"/>
      <family val="0"/>
      <i val="1"/>
      <color rgb="FF3B1F6B"/>
      <sz val="9"/>
    </font>
    <font>
      <name val="Arial"/>
      <charset val="1"/>
      <family val="0"/>
      <b val="1"/>
      <color rgb="FF1A1A1A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C9A961"/>
      <sz val="12"/>
    </font>
  </fonts>
  <fills count="17">
    <fill>
      <patternFill/>
    </fill>
    <fill>
      <patternFill patternType="gray125"/>
    </fill>
    <fill>
      <patternFill patternType="solid">
        <fgColor rgb="FF0F1923"/>
        <bgColor rgb="FF1A1A1A"/>
      </patternFill>
    </fill>
    <fill>
      <patternFill patternType="solid">
        <fgColor rgb="FF2E4057"/>
        <bgColor rgb="FF1B4F2A"/>
      </patternFill>
    </fill>
    <fill>
      <patternFill patternType="solid">
        <fgColor rgb="FFEDF2F7"/>
        <bgColor rgb="FFF5F5F5"/>
      </patternFill>
    </fill>
    <fill>
      <patternFill patternType="solid">
        <fgColor rgb="FFFFFFFF"/>
        <bgColor rgb="FFFFFDE6"/>
      </patternFill>
    </fill>
    <fill>
      <patternFill patternType="solid">
        <fgColor rgb="FFC9A961"/>
        <bgColor rgb="FFBFBFBF"/>
      </patternFill>
    </fill>
    <fill>
      <patternFill patternType="solid">
        <fgColor rgb="FFE6F2EA"/>
        <bgColor rgb="FFEDF2F7"/>
      </patternFill>
    </fill>
    <fill>
      <patternFill patternType="solid">
        <fgColor rgb="FFF4EBC8"/>
        <bgColor rgb="FFFAE5C3"/>
      </patternFill>
    </fill>
    <fill>
      <patternFill patternType="solid">
        <fgColor rgb="FF4A6580"/>
        <bgColor rgb="FF5C5C5C"/>
      </patternFill>
    </fill>
    <fill>
      <patternFill patternType="solid">
        <fgColor rgb="FFFFFDE6"/>
        <bgColor rgb="FFFFF9D6"/>
      </patternFill>
    </fill>
    <fill>
      <patternFill patternType="solid">
        <fgColor rgb="FF3B1F6B"/>
        <bgColor rgb="FF2E4057"/>
      </patternFill>
    </fill>
    <fill>
      <patternFill patternType="solid">
        <fgColor rgb="FFEDE8F5"/>
        <bgColor rgb="FFEDF2F7"/>
      </patternFill>
    </fill>
    <fill>
      <patternFill patternType="solid">
        <fgColor rgb="FFFAE5C3"/>
        <bgColor rgb="FFF4EBC8"/>
      </patternFill>
    </fill>
    <fill>
      <patternFill patternType="solid">
        <fgColor rgb="FF0F1F3D"/>
        <bgColor rgb="FF0F1923"/>
      </patternFill>
    </fill>
    <fill>
      <patternFill patternType="solid">
        <fgColor rgb="FFF5F5F5"/>
        <bgColor rgb="FFEDF2F7"/>
      </patternFill>
    </fill>
    <fill>
      <patternFill patternType="solid">
        <fgColor rgb="FFFFF9D6"/>
        <bgColor rgb="FFFFFDE6"/>
      </patternFill>
    </fill>
  </fills>
  <borders count="10">
    <border>
      <left/>
      <right/>
      <top/>
      <bottom/>
      <diagonal/>
    </border>
    <border>
      <left style="thin">
        <color rgb="FFD4DDE6"/>
      </left>
      <right style="thin">
        <color rgb="FFD4DDE6"/>
      </right>
      <top style="thin">
        <color rgb="FFD4DDE6"/>
      </top>
      <bottom style="thin">
        <color rgb="FFD4DDE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D4DDE6"/>
      </top>
      <bottom/>
      <diagonal/>
    </border>
    <border>
      <left/>
      <right style="thin">
        <color rgb="FFD4DDE6"/>
      </right>
      <top style="thin">
        <color rgb="FFD4DDE6"/>
      </top>
      <bottom/>
      <diagonal/>
    </border>
    <border>
      <left/>
      <right/>
      <top style="thin">
        <color rgb="FFD4DDE6"/>
      </top>
      <bottom style="thin">
        <color rgb="FFD4DDE6"/>
      </bottom>
      <diagonal/>
    </border>
    <border>
      <left/>
      <right style="thin">
        <color rgb="FFD4DDE6"/>
      </right>
      <top style="thin">
        <color rgb="FFD4DDE6"/>
      </top>
      <bottom style="thin">
        <color rgb="FFD4DDE6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 wrapText="1"/>
    </xf>
    <xf numFmtId="0" fontId="5" fillId="3" borderId="1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general" vertical="bottom" wrapText="1"/>
    </xf>
    <xf numFmtId="0" fontId="11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left" vertical="center"/>
    </xf>
    <xf numFmtId="0" fontId="13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9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general" vertical="bottom"/>
    </xf>
    <xf numFmtId="0" fontId="13" fillId="4" borderId="1" applyAlignment="1" pivotButton="0" quotePrefix="0" xfId="0">
      <alignment horizontal="left" vertical="center"/>
    </xf>
    <xf numFmtId="0" fontId="15" fillId="1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left" vertical="center"/>
    </xf>
    <xf numFmtId="0" fontId="15" fillId="10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17" fillId="4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center" vertical="center"/>
    </xf>
    <xf numFmtId="0" fontId="20" fillId="7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left" vertical="center"/>
    </xf>
    <xf numFmtId="0" fontId="21" fillId="12" borderId="1" applyAlignment="1" pivotButton="0" quotePrefix="0" xfId="0">
      <alignment horizontal="center" vertical="center" wrapText="1"/>
    </xf>
    <xf numFmtId="0" fontId="21" fillId="12" borderId="1" applyAlignment="1" pivotButton="0" quotePrefix="0" xfId="0">
      <alignment horizontal="left" vertical="center" wrapText="1"/>
    </xf>
    <xf numFmtId="0" fontId="22" fillId="13" borderId="2" applyAlignment="1" pivotButton="0" quotePrefix="0" xfId="0">
      <alignment horizontal="left" vertical="top" wrapText="1"/>
    </xf>
    <xf numFmtId="0" fontId="10" fillId="13" borderId="2" applyAlignment="1" pivotButton="0" quotePrefix="0" xfId="0">
      <alignment horizontal="left" vertical="top" wrapText="1"/>
    </xf>
    <xf numFmtId="0" fontId="23" fillId="14" borderId="0" applyAlignment="1" pivotButton="0" quotePrefix="0" xfId="0">
      <alignment horizontal="center" vertical="center" wrapText="1"/>
    </xf>
    <xf numFmtId="0" fontId="11" fillId="15" borderId="0" applyAlignment="1" pivotButton="0" quotePrefix="0" xfId="0">
      <alignment horizontal="left" vertical="top" wrapText="1"/>
    </xf>
    <xf numFmtId="0" fontId="24" fillId="14" borderId="0" applyAlignment="1" pivotButton="0" quotePrefix="0" xfId="0">
      <alignment horizontal="left" vertical="center" wrapText="1"/>
    </xf>
    <xf numFmtId="0" fontId="22" fillId="8" borderId="2" applyAlignment="1" pivotButton="0" quotePrefix="0" xfId="0">
      <alignment horizontal="left" vertical="top" wrapText="1"/>
    </xf>
    <xf numFmtId="0" fontId="10" fillId="16" borderId="3" applyAlignment="1" pivotButton="0" quotePrefix="0" xfId="0">
      <alignment horizontal="left" vertical="top" wrapText="1"/>
    </xf>
    <xf numFmtId="0" fontId="22" fillId="0" borderId="2" applyAlignment="1" pivotButton="0" quotePrefix="0" xfId="0">
      <alignment horizontal="left" vertical="top" wrapText="1"/>
    </xf>
    <xf numFmtId="0" fontId="10" fillId="16" borderId="0" applyAlignment="1" pivotButton="0" quotePrefix="0" xfId="0">
      <alignment horizontal="left" vertical="top" wrapText="1"/>
    </xf>
    <xf numFmtId="0" fontId="10" fillId="8" borderId="0" applyAlignment="1" pivotButton="0" quotePrefix="0" xfId="0">
      <alignment horizontal="left" vertical="top" wrapText="1"/>
    </xf>
    <xf numFmtId="0" fontId="10" fillId="0" borderId="2" applyAlignment="1" pivotButton="0" quotePrefix="0" xfId="0">
      <alignment horizontal="left" vertical="top" wrapText="1"/>
    </xf>
    <xf numFmtId="0" fontId="10" fillId="8" borderId="2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 wrapText="1"/>
    </xf>
    <xf numFmtId="0" fontId="5" fillId="3" borderId="1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general" vertical="bottom" wrapText="1"/>
    </xf>
    <xf numFmtId="0" fontId="11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left" vertical="center"/>
    </xf>
    <xf numFmtId="0" fontId="13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9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14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general" vertical="bottom"/>
    </xf>
    <xf numFmtId="0" fontId="13" fillId="4" borderId="1" applyAlignment="1" pivotButton="0" quotePrefix="0" xfId="0">
      <alignment horizontal="left" vertical="center"/>
    </xf>
    <xf numFmtId="0" fontId="15" fillId="1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left" vertical="center"/>
    </xf>
    <xf numFmtId="0" fontId="15" fillId="10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17" fillId="4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center" vertical="center"/>
    </xf>
    <xf numFmtId="0" fontId="20" fillId="7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left" vertical="center"/>
    </xf>
    <xf numFmtId="0" fontId="21" fillId="12" borderId="1" applyAlignment="1" pivotButton="0" quotePrefix="0" xfId="0">
      <alignment horizontal="center" vertical="center" wrapText="1"/>
    </xf>
    <xf numFmtId="0" fontId="21" fillId="12" borderId="1" applyAlignment="1" pivotButton="0" quotePrefix="0" xfId="0">
      <alignment horizontal="left" vertical="center" wrapText="1"/>
    </xf>
    <xf numFmtId="0" fontId="22" fillId="13" borderId="2" applyAlignment="1" pivotButton="0" quotePrefix="0" xfId="0">
      <alignment horizontal="left" vertical="top" wrapText="1"/>
    </xf>
    <xf numFmtId="0" fontId="10" fillId="13" borderId="2" applyAlignment="1" pivotButton="0" quotePrefix="0" xfId="0">
      <alignment horizontal="left" vertical="top" wrapText="1"/>
    </xf>
    <xf numFmtId="0" fontId="23" fillId="14" borderId="0" applyAlignment="1" pivotButton="0" quotePrefix="0" xfId="0">
      <alignment horizontal="center" vertical="center" wrapText="1"/>
    </xf>
    <xf numFmtId="0" fontId="11" fillId="15" borderId="0" applyAlignment="1" pivotButton="0" quotePrefix="0" xfId="0">
      <alignment horizontal="left" vertical="top" wrapText="1"/>
    </xf>
    <xf numFmtId="0" fontId="24" fillId="14" borderId="0" applyAlignment="1" pivotButton="0" quotePrefix="0" xfId="0">
      <alignment horizontal="left" vertical="center" wrapText="1"/>
    </xf>
    <xf numFmtId="0" fontId="22" fillId="8" borderId="2" applyAlignment="1" pivotButton="0" quotePrefix="0" xfId="0">
      <alignment horizontal="left" vertical="top" wrapText="1"/>
    </xf>
    <xf numFmtId="0" fontId="10" fillId="16" borderId="3" applyAlignment="1" pivotButton="0" quotePrefix="0" xfId="0">
      <alignment horizontal="left" vertical="top" wrapText="1"/>
    </xf>
    <xf numFmtId="0" fontId="0" fillId="0" borderId="9" pivotButton="0" quotePrefix="0" xfId="0"/>
    <xf numFmtId="0" fontId="22" fillId="0" borderId="2" applyAlignment="1" pivotButton="0" quotePrefix="0" xfId="0">
      <alignment horizontal="left" vertical="top" wrapText="1"/>
    </xf>
    <xf numFmtId="0" fontId="10" fillId="16" borderId="0" applyAlignment="1" pivotButton="0" quotePrefix="0" xfId="0">
      <alignment horizontal="left" vertical="top" wrapText="1"/>
    </xf>
    <xf numFmtId="0" fontId="10" fillId="8" borderId="0" applyAlignment="1" pivotButton="0" quotePrefix="0" xfId="0">
      <alignment horizontal="left" vertical="top" wrapText="1"/>
    </xf>
    <xf numFmtId="0" fontId="10" fillId="0" borderId="2" applyAlignment="1" pivotButton="0" quotePrefix="0" xfId="0">
      <alignment horizontal="left" vertical="top" wrapText="1"/>
    </xf>
    <xf numFmtId="0" fontId="10" fillId="8" borderId="2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DE6"/>
      <rgbColor rgb="FFFF00FF"/>
      <rgbColor rgb="FF00FFFF"/>
      <rgbColor rgb="FF7A1A1A"/>
      <rgbColor rgb="FF1B4F2A"/>
      <rgbColor rgb="FF000080"/>
      <rgbColor rgb="FF808000"/>
      <rgbColor rgb="FF800080"/>
      <rgbColor rgb="FF008080"/>
      <rgbColor rgb="FFBFBFBF"/>
      <rgbColor rgb="FF5C5C5C"/>
      <rgbColor rgb="FF9999FF"/>
      <rgbColor rgb="FF993366"/>
      <rgbColor rgb="FFFFF9D6"/>
      <rgbColor rgb="FFE6F2EA"/>
      <rgbColor rgb="FF660066"/>
      <rgbColor rgb="FFFF8080"/>
      <rgbColor rgb="FF0066CC"/>
      <rgbColor rgb="FFD4DD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2F7"/>
      <rgbColor rgb="FFF5F5F5"/>
      <rgbColor rgb="FFF4EBC8"/>
      <rgbColor rgb="FFEDE8F5"/>
      <rgbColor rgb="FFFF99CC"/>
      <rgbColor rgb="FFCC99FF"/>
      <rgbColor rgb="FFFAE5C3"/>
      <rgbColor rgb="FF3366FF"/>
      <rgbColor rgb="FF33CCCC"/>
      <rgbColor rgb="FF99CC00"/>
      <rgbColor rgb="FFFFCC00"/>
      <rgbColor rgb="FFFF9900"/>
      <rgbColor rgb="FFFF6600"/>
      <rgbColor rgb="FF4A6580"/>
      <rgbColor rgb="FFC9A961"/>
      <rgbColor rgb="FF0F1F3D"/>
      <rgbColor rgb="FF339966"/>
      <rgbColor rgb="FF0F1923"/>
      <rgbColor rgb="FF1A1A1A"/>
      <rgbColor rgb="FF993300"/>
      <rgbColor rgb="FF993366"/>
      <rgbColor rgb="FF3B1F6B"/>
      <rgbColor rgb="FF2E405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58" min="1" max="1"/>
    <col width="90" customWidth="1" style="58" min="2" max="2"/>
  </cols>
  <sheetData>
    <row r="1" ht="21.75" customHeight="1" s="59">
      <c r="A1" s="60" t="inlineStr">
        <is>
          <t>STRUCTURAL TYPOLOGY  |  Prediction Ledger  |  v1.0</t>
        </is>
      </c>
    </row>
    <row r="2" ht="18" customHeight="1" s="59">
      <c r="A2" s="61" t="inlineStr">
        <is>
          <t>File name</t>
        </is>
      </c>
      <c r="B2" s="62" t="inlineStr">
        <is>
          <t>ST_Prediction_Ledger_v1.xlsx</t>
        </is>
      </c>
    </row>
    <row r="3" ht="37.5" customHeight="1" s="59">
      <c r="A3" s="61" t="inlineStr">
        <is>
          <t>Build stage</t>
        </is>
      </c>
      <c r="B3" s="63" t="inlineStr">
        <is>
          <t>Block 1 / File 5  |  Verification and calibration layer. Final file in the Block 1 build sequence.</t>
        </is>
      </c>
    </row>
    <row r="4" ht="37.5" customHeight="1" s="59">
      <c r="A4" s="61" t="inlineStr">
        <is>
          <t>File purpose</t>
        </is>
      </c>
      <c r="B4" s="62" t="inlineStr">
        <is>
          <t>Maintains the sealed, timestamped record of all predictions made at Step 3 and their verified outcomes. Serves three simultaneous functions: (1) commercial credibility mechanism — sealed predictions with documented verification outcomes are the primary trust signal for institutional clients; (2) calibration data source — verified outcomes feed BASE_RATES in ST_Transition_Rate_Engine_v1.xlsx after N&gt;=5 cases per function type; (3) model accuracy tracking — ACCURACY_DASHBOARD produces the quantitative accuracy record that answers the question 'who audited your formulas?'</t>
        </is>
      </c>
    </row>
    <row r="5" ht="37.5" customHeight="1" s="59">
      <c r="A5" s="61" t="inlineStr">
        <is>
          <t>Three prediction types per deal</t>
        </is>
      </c>
      <c r="B5" s="63" t="inlineStr">
        <is>
          <t>Prediction 1: First signal — specific signal code + observation context + week window. Prediction 2: Transition rate — central months + confidence band. Prediction 3: Departure window — TR central + 6 months (minimum window for key departure risk).</t>
        </is>
      </c>
    </row>
    <row r="6" ht="37.5" customHeight="1" s="59">
      <c r="A6" s="61" t="inlineStr">
        <is>
          <t>Verification checkpoints</t>
        </is>
      </c>
      <c r="B6" s="62" t="inlineStr">
        <is>
          <t>Month 6 and Month 12 post-close. Both checkpoints required for a case to be counted as fully verified.</t>
        </is>
      </c>
    </row>
    <row r="7" ht="37.5" customHeight="1" s="59">
      <c r="A7" s="61" t="inlineStr">
        <is>
          <t>Calibration trigger</t>
        </is>
      </c>
      <c r="B7" s="63" t="inlineStr">
        <is>
          <t>After N=5 verified cases for a given dominant function: compute running average of actual observed transition times. Update BASE_RATES in ST_Transition_Rate_Engine_v1.xlsx with calibrated average. Record update in CALIBRATION_LOG sheet of this file. After N=10 verified cases: narrow confidence band from [x0.75, x1.25] to [x0.85, x1.15] for that function type row in CALC_OUTPUT.</t>
        </is>
      </c>
    </row>
    <row r="8" ht="37.5" customHeight="1" s="59">
      <c r="A8" s="61" t="inlineStr">
        <is>
          <t>Immutability rule</t>
        </is>
      </c>
      <c r="B8" s="62" t="inlineStr">
        <is>
          <t>LEDGER and SEALED_PREDICTIONS sheets are append-only. No row may be deleted or modified after status = SEALED. If a prediction was wrong: document the actual outcome in VERIFICATION_LOG. Do not alter the original prediction. The ledger value is in its completeness, including errors.</t>
        </is>
      </c>
    </row>
    <row r="9" ht="37.5" customHeight="1" s="59">
      <c r="A9" s="61" t="inlineStr">
        <is>
          <t>Upstream inputs</t>
        </is>
      </c>
      <c r="B9" s="63" t="inlineStr">
        <is>
          <t>ST_Transition_Rate_Engine_v1.xlsx PREDICTION_REGISTER: sealed predictions (copied here at seal time). Client engagement data at Month 6 and Month 12 verification checkpoints.</t>
        </is>
      </c>
    </row>
    <row r="10" ht="37.5" customHeight="1" s="59">
      <c r="A10" s="61" t="inlineStr">
        <is>
          <t>Downstream consumers</t>
        </is>
      </c>
      <c r="B10" s="62" t="inlineStr">
        <is>
          <t>ST_Transition_Rate_Engine_v1.xlsx BASE_RATES: calibration updates after N&gt;=5. Commercial presentations: ACCURACY_DASHBOARD is the primary institutional credibility exhibit.</t>
        </is>
      </c>
    </row>
    <row r="11" ht="18" customHeight="1" s="59">
      <c r="A11" s="61" t="inlineStr">
        <is>
          <t>Authority level</t>
        </is>
      </c>
      <c r="B11" s="63" t="inlineStr">
        <is>
          <t>Level 3 additive. This file does not override any theoretical corpus file.</t>
        </is>
      </c>
    </row>
    <row r="12" ht="37.5" customHeight="1" s="59">
      <c r="A12" s="61" t="inlineStr">
        <is>
          <t>Audit status</t>
        </is>
      </c>
      <c r="B12" s="62" t="inlineStr">
        <is>
          <t>ACTIVE — append entries for every sealed prediction. This file grows with each engagement.</t>
        </is>
      </c>
    </row>
    <row r="13" ht="18" customHeight="1" s="59">
      <c r="A13" s="61" t="inlineStr">
        <is>
          <t>Version</t>
        </is>
      </c>
      <c r="B13" s="63" t="inlineStr">
        <is>
          <t>1.0  |  April 2026</t>
        </is>
      </c>
    </row>
  </sheetData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O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58" min="1" max="1"/>
    <col width="16" customWidth="1" style="58" min="2" max="2"/>
    <col width="12" customWidth="1" style="58" min="3" max="3"/>
    <col width="10" customWidth="1" style="58" min="4" max="4"/>
    <col width="30" customWidth="1" style="58" min="5" max="6"/>
    <col width="24" customWidth="1" style="58" min="7" max="7"/>
    <col width="30" customWidth="1" style="58" min="8" max="8"/>
    <col width="16" customWidth="1" style="58" min="9" max="9"/>
    <col width="14" customWidth="1" style="58" min="10" max="10"/>
    <col width="22" customWidth="1" style="58" min="11" max="15"/>
  </cols>
  <sheetData>
    <row r="1" ht="21.75" customHeight="1" s="59">
      <c r="A1" s="60" t="inlineStr">
        <is>
          <t>SEALED PREDICTIONS  |  Append-only  |  Copied from ST_Transition_Rate_Engine_v1.xlsx PREDICTION_REGISTER at seal time  |  v3.1: extended with evidence-confidence stamp columns 11-15 (per Phase 3 brief)</t>
        </is>
      </c>
    </row>
    <row r="2" ht="24" customHeight="1" s="59">
      <c r="A2" s="64" t="inlineStr">
        <is>
          <t>IMMUTABILITY RULE: no row may be deleted or modified after Status = SEALED. Copy predictions from ST_Transition_Rate_Engine_v1.xlsx PREDICTION_REGISTER at seal time. v3.1: ALSO copy evidence-confidence stamp at seal time (columns 11-15) — these capture the Layer 3 Confidence Gate verdict and supporting evidence-quality metrics at the moment of sealing. Per Phase 3 brief: each prediction carries the evidence-confidence stamp at issue time — this is what makes sealed predictions forward-verifiable on TWO axes: (a) was the prediction correct? (b) was the confidence assignment well-calibrated?</t>
        </is>
      </c>
    </row>
    <row r="3" ht="63.75" customHeight="1" s="59">
      <c r="A3" s="65" t="inlineStr">
        <is>
          <t>Deal ID</t>
        </is>
      </c>
      <c r="B3" s="65" t="inlineStr">
        <is>
          <t>ECS Pair
(acq x tgt)</t>
        </is>
      </c>
      <c r="C3" s="65" t="inlineStr">
        <is>
          <t>Primary
Actor Type</t>
        </is>
      </c>
      <c r="D3" s="65" t="inlineStr">
        <is>
          <t>Dom.
Function</t>
        </is>
      </c>
      <c r="E3" s="65" t="inlineStr">
        <is>
          <t>Prediction 1
(First signal — code + context + week window)</t>
        </is>
      </c>
      <c r="F3" s="65" t="inlineStr">
        <is>
          <t>Prediction 2
(Transition rate — central + CB range)</t>
        </is>
      </c>
      <c r="G3" s="65" t="inlineStr">
        <is>
          <t>Prediction 3
(Departure window)</t>
        </is>
      </c>
      <c r="H3" s="65" t="inlineStr">
        <is>
          <t>Falsification condition
(what would falsify Prediction 2)</t>
        </is>
      </c>
      <c r="I3" s="65" t="inlineStr">
        <is>
          <t>Sealed
(timestamp)</t>
        </is>
      </c>
      <c r="J3" s="65" t="inlineStr">
        <is>
          <t>Status</t>
        </is>
      </c>
      <c r="K3" s="66" t="inlineStr">
        <is>
          <t>confidence_at_seal
(high / medium /
low / cannot_determine)</t>
        </is>
      </c>
      <c r="L3" s="66" t="inlineStr">
        <is>
          <t>evidence_quality_at_seal
(% direct-observation
share)</t>
        </is>
      </c>
      <c r="M3" s="66" t="inlineStr">
        <is>
          <t>reliability_flag_rate_at_seal
(% of answers with
any flag)</t>
        </is>
      </c>
      <c r="N3" s="66" t="inlineStr">
        <is>
          <t>confidence_gate_verdict_at_seal
(5/5, 4/5, 3/5,
2/5, 1/5, 0/5)</t>
        </is>
      </c>
      <c r="O3" s="66" t="inlineStr">
        <is>
          <t>contradiction_count_at_seal
(open Contradiction
records at seal)</t>
        </is>
      </c>
    </row>
    <row r="4" ht="49.5" customHeight="1" s="59">
      <c r="A4" s="67" t="inlineStr">
        <is>
          <t>DEAL-001</t>
        </is>
      </c>
      <c r="B4" s="67" t="inlineStr">
        <is>
          <t>NT/STJ x SFJ/SFP</t>
        </is>
      </c>
      <c r="C4" s="67" t="inlineStr">
        <is>
          <t>INTJ</t>
        </is>
      </c>
      <c r="D4" s="67" t="inlineStr">
        <is>
          <t>Ni1</t>
        </is>
      </c>
      <c r="E4" s="68" t="inlineStr">
        <is>
          <t>J-05 (Selective topic avoidance) in strategic meetings — expected weeks 6-10 post-close</t>
        </is>
      </c>
      <c r="F4" s="68" t="inlineStr">
        <is>
          <t>Transition NATURAL-&gt;FUNCTIONAL expected in 13.5–22.5 months (central: 18.0 months)</t>
        </is>
      </c>
      <c r="G4" s="68" t="inlineStr">
        <is>
          <t>Key departure window: months 19-30 post-close (central TR 18 months + 6)</t>
        </is>
      </c>
      <c r="H4" s="68" t="inlineStr">
        <is>
          <t>If J-05 absent by week 12: PM over-estimated for Ni1 in this environment class — reduce baseline multiplier</t>
        </is>
      </c>
      <c r="I4" s="67" t="inlineStr">
        <is>
          <t>2026-04-20 09:00</t>
        </is>
      </c>
      <c r="J4" s="69" t="inlineStr">
        <is>
          <t>SEALED</t>
        </is>
      </c>
      <c r="K4" s="70" t="inlineStr">
        <is>
          <t>high</t>
        </is>
      </c>
      <c r="L4" s="70" t="inlineStr">
        <is>
          <t>72%</t>
        </is>
      </c>
      <c r="M4" s="70" t="inlineStr">
        <is>
          <t>12%</t>
        </is>
      </c>
      <c r="N4" s="70" t="inlineStr">
        <is>
          <t>5/5</t>
        </is>
      </c>
      <c r="O4" s="70" t="inlineStr">
        <is>
          <t>0</t>
        </is>
      </c>
    </row>
    <row r="5" ht="37.5" customHeight="1" s="59">
      <c r="A5" s="71" t="inlineStr">
        <is>
          <t>[EXAMPLE ROW ABOVE — replace with actual sealed predictions. Add one row per deal. v3.1: columns 11-15 are evidence-confidence stamp at seal time — capture before sealing.]</t>
        </is>
      </c>
      <c r="K5" s="71" t="n"/>
      <c r="L5" s="71" t="n"/>
      <c r="M5" s="71" t="n"/>
      <c r="N5" s="71" t="n"/>
      <c r="O5" s="71" t="n"/>
    </row>
  </sheetData>
  <mergeCells count="3">
    <mergeCell ref="A1:J1"/>
    <mergeCell ref="A2:J2"/>
    <mergeCell ref="A5:J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N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58" min="1" max="1"/>
    <col width="12" customWidth="1" style="58" min="2" max="2"/>
    <col width="14" customWidth="1" style="58" min="3" max="3"/>
    <col width="16" customWidth="1" style="58" min="4" max="4"/>
    <col width="14" customWidth="1" style="58" min="5" max="5"/>
    <col width="16" customWidth="1" style="58" min="6" max="6"/>
    <col width="18" customWidth="1" style="58" min="7" max="7"/>
    <col width="14" customWidth="1" style="58" min="8" max="8"/>
    <col width="18" customWidth="1" style="58" min="9" max="9"/>
    <col width="14" customWidth="1" style="58" min="10" max="10"/>
    <col width="16" customWidth="1" style="58" min="11" max="11"/>
    <col width="20" customWidth="1" style="58" min="12" max="13"/>
    <col width="22" customWidth="1" style="58" min="14" max="14"/>
  </cols>
  <sheetData>
    <row r="1" ht="21.75" customHeight="1" s="59">
      <c r="A1" s="60" t="inlineStr">
        <is>
          <t>VERIFICATION LOG  |  Month 6 and Month 12 outcomes  |  One row per prediction per checkpoint  |  v3.1: column 14 recalls confidence_at_seal for confidence-calibration analysis</t>
        </is>
      </c>
    </row>
    <row r="2" ht="27.75" customHeight="1" s="59">
      <c r="A2" s="72" t="inlineStr">
        <is>
          <t>For each sealed prediction: enter a verification row at Month 6 AND Month 12 post-close. Outcome codes: CONFIRMED (prediction correct within CB), PARTIAL (direction correct, magnitude off), FALSIFIED (prediction wrong), PENDING (window not yet reached). v3.1: column 14 recalls the confidence_at_seal value from SEALED_PREDICTIONS col 11 — enables the calibration analysis "do high-confidence predictions actually verify better than low-confidence predictions?" This is the methodology's self-correction mechanism: if low-confidence predictions verify at the same rate as high-confidence ones, the Confidence Gate criteria need recalibration.</t>
        </is>
      </c>
    </row>
    <row r="3" ht="31.5" customHeight="1" s="59">
      <c r="A3" s="65" t="inlineStr">
        <is>
          <t>Deal ID</t>
        </is>
      </c>
      <c r="B3" s="65" t="inlineStr">
        <is>
          <t>Dom.
Function</t>
        </is>
      </c>
      <c r="C3" s="65" t="inlineStr">
        <is>
          <t>ECS Pair</t>
        </is>
      </c>
      <c r="D3" s="65" t="inlineStr">
        <is>
          <t>Checkpoint
(Month 6 / 12)</t>
        </is>
      </c>
      <c r="E3" s="65" t="inlineStr">
        <is>
          <t>Prediction #
(1, 2, or 3)</t>
        </is>
      </c>
      <c r="F3" s="65" t="inlineStr">
        <is>
          <t>Prediction
(verbatim from Ledger)</t>
        </is>
      </c>
      <c r="G3" s="65" t="inlineStr">
        <is>
          <t>Actual outcome
(what was observed)</t>
        </is>
      </c>
      <c r="H3" s="65" t="inlineStr">
        <is>
          <t>Outcome code</t>
        </is>
      </c>
      <c r="I3" s="65" t="inlineStr">
        <is>
          <t>Deviation
(if applicable)</t>
        </is>
      </c>
      <c r="J3" s="65" t="inlineStr">
        <is>
          <t>Actual TR
(months, if P2)</t>
        </is>
      </c>
      <c r="K3" s="65" t="inlineStr">
        <is>
          <t>Predicted TR
(months, if P2)</t>
        </is>
      </c>
      <c r="L3" s="65" t="inlineStr">
        <is>
          <t>Error direction
(PM too high / low / correct)</t>
        </is>
      </c>
      <c r="M3" s="65" t="inlineStr">
        <is>
          <t>Notes / context</t>
        </is>
      </c>
      <c r="N3" s="66" t="inlineStr">
        <is>
          <t>confidence_at_seal
(recalled from
SEALED_PREDICTIONS
col 11)</t>
        </is>
      </c>
    </row>
    <row r="4" ht="48" customHeight="1" s="59">
      <c r="A4" s="67" t="inlineStr">
        <is>
          <t>DEAL-001</t>
        </is>
      </c>
      <c r="B4" s="67" t="inlineStr">
        <is>
          <t>Ni1</t>
        </is>
      </c>
      <c r="C4" s="68" t="inlineStr">
        <is>
          <t>NT/STJ x SFJ/SFP</t>
        </is>
      </c>
      <c r="D4" s="67" t="inlineStr">
        <is>
          <t>Month 6</t>
        </is>
      </c>
      <c r="E4" s="67" t="inlineStr">
        <is>
          <t>2</t>
        </is>
      </c>
      <c r="F4" s="68" t="inlineStr">
        <is>
          <t>Transition NATURAL-&gt;FUNCTIONAL in 13.5-22.5 months (central: 18)</t>
        </is>
      </c>
      <c r="G4" s="68" t="inlineStr">
        <is>
          <t>INTJ lead stopped initiating forward agenda items by week 8. No formal category transition observed yet (expected mo 14-23).</t>
        </is>
      </c>
      <c r="H4" s="69" t="inlineStr">
        <is>
          <t>CONFIRMED</t>
        </is>
      </c>
      <c r="I4" s="68" t="inlineStr">
        <is>
          <t>Within CB — transition not yet due</t>
        </is>
      </c>
      <c r="J4" s="67" t="inlineStr">
        <is>
          <t>—</t>
        </is>
      </c>
      <c r="K4" s="67" t="inlineStr">
        <is>
          <t>18.0</t>
        </is>
      </c>
      <c r="L4" s="68" t="inlineStr">
        <is>
          <t>PM correct — within expected window</t>
        </is>
      </c>
      <c r="M4" s="68" t="inlineStr">
        <is>
          <t>J-05 signal confirmed week 8. On track.</t>
        </is>
      </c>
      <c r="N4" s="70" t="inlineStr">
        <is>
          <t>high</t>
        </is>
      </c>
    </row>
    <row r="5" ht="15.75" customHeight="1" s="59">
      <c r="A5" s="73" t="inlineStr">
        <is>
          <t>[EXAMPLE ROW — replace with actual verification entries. Add one row per prediction per checkpoint. v3.1: column 14 (confidence_at_seal) recalled from SEALED_PREDICTIONS col 11 — enables analysis of whether high-confidence predictions verify better than low-confidence predictions.]</t>
        </is>
      </c>
    </row>
  </sheetData>
  <mergeCells count="3">
    <mergeCell ref="A2:M2"/>
    <mergeCell ref="A1:M1"/>
    <mergeCell ref="A5:M5"/>
  </mergeCells>
  <dataValidations count="3">
    <dataValidation sqref="H4:H503" showDropDown="0" showInputMessage="0" showErrorMessage="1" allowBlank="0" errorTitle="Invalid outcome" error="Use: CONFIRMED / PARTIAL / FALSIFIED / PENDING / INSUFFICIENT_DATA" promptTitle="Outcome" prompt="Select verification outcome" type="list" errorStyle="stop" operator="between">
      <formula1>"CONFIRMED,PARTIAL,FALSIFIED,PENDING,INSUFFICIENT_DATA"</formula1>
      <formula2>0</formula2>
    </dataValidation>
    <dataValidation sqref="D4:D503" showDropDown="0" showInputMessage="0" showErrorMessage="1" allowBlank="0" promptTitle="Checkpoint" prompt="Select verification checkpoint" type="list" errorStyle="stop" operator="between">
      <formula1>"Month 6,Month 12"</formula1>
      <formula2>0</formula2>
    </dataValidation>
    <dataValidation sqref="E4:E503" showDropDown="0" showInputMessage="0" showErrorMessage="1" allowBlank="0" promptTitle="Prediction #" prompt="Prediction number (1=first signal, 2=transition rate, 3=departure window)" type="list" errorStyle="stop" operator="between">
      <formula1>"1,2,3"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58" min="1" max="1"/>
    <col width="16" customWidth="1" style="58" min="2" max="2"/>
    <col width="14" customWidth="1" style="58" min="3" max="6"/>
    <col width="16" customWidth="1" style="58" min="7" max="8"/>
    <col width="20" customWidth="1" style="58" min="9" max="9"/>
  </cols>
  <sheetData>
    <row r="1" ht="21.75" customHeight="1" s="59">
      <c r="A1" s="60" t="inlineStr">
        <is>
          <t>CALIBRATION LOG  |  Running averages per dominant function  |  Feeds BASE_RATES in ST_Transition_Rate_Engine_v1.xlsx</t>
        </is>
      </c>
    </row>
    <row r="2" ht="27.75" customHeight="1" s="59">
      <c r="A2" s="72" t="inlineStr">
        <is>
          <t>After each CONFIRMED or PARTIAL Prediction 2 outcome: add a row to this log. When N_confirmed reaches 5 for any function-transition pair: compute running average and update the corresponding cell in ST_Transition_Rate_Engine_v1.xlsx BASE_RATES. Mark UPDATE_APPLIED = YES. When N_confirmed reaches 10: also narrow the CB band in CALC_OUTPUT from [x0.75,x1.25] to [x0.85,x1.15].</t>
        </is>
      </c>
    </row>
    <row r="3" ht="31.5" customHeight="1" s="59">
      <c r="A3" s="65" t="inlineStr">
        <is>
          <t>Dom.
Function</t>
        </is>
      </c>
      <c r="B3" s="65" t="inlineStr">
        <is>
          <t>Transition
Category</t>
        </is>
      </c>
      <c r="C3" s="65" t="inlineStr">
        <is>
          <t>Deal ID</t>
        </is>
      </c>
      <c r="D3" s="65" t="inlineStr">
        <is>
          <t>Predicted TR
(months)</t>
        </is>
      </c>
      <c r="E3" s="65" t="inlineStr">
        <is>
          <t>Actual TR
(months)</t>
        </is>
      </c>
      <c r="F3" s="65" t="inlineStr">
        <is>
          <t>Error
(actual-predicted)</t>
        </is>
      </c>
      <c r="G3" s="65" t="inlineStr">
        <is>
          <t>N confirmed
(running)</t>
        </is>
      </c>
      <c r="H3" s="65" t="inlineStr">
        <is>
          <t>Running avg
(actual TR)</t>
        </is>
      </c>
      <c r="I3" s="65" t="inlineStr">
        <is>
          <t>Update applied to
BASE_RATES</t>
        </is>
      </c>
    </row>
    <row r="4" ht="18" customHeight="1" s="59">
      <c r="A4" s="74" t="inlineStr">
        <is>
          <t>CALIBRATION STATUS TABLE  |  N counter per function x transition  |  Update N after each CONFIRMED verification</t>
        </is>
      </c>
    </row>
    <row r="5" ht="31.5" customHeight="1" s="59">
      <c r="A5" s="65" t="inlineStr">
        <is>
          <t>Dom. Function</t>
        </is>
      </c>
      <c r="B5" s="65" t="inlineStr">
        <is>
          <t>NAT-&gt;FUNC
N confirmed</t>
        </is>
      </c>
      <c r="C5" s="65" t="inlineStr">
        <is>
          <t>NAT-&gt;FUNC
Current avg</t>
        </is>
      </c>
      <c r="D5" s="65" t="inlineStr">
        <is>
          <t>FUNC-&gt;STRESS
N confirmed</t>
        </is>
      </c>
      <c r="E5" s="65" t="inlineStr">
        <is>
          <t>FUNC-&gt;STRESS
Current avg</t>
        </is>
      </c>
      <c r="F5" s="65" t="inlineStr">
        <is>
          <t>STRESS-&gt;RISK
N confirmed</t>
        </is>
      </c>
      <c r="G5" s="65" t="inlineStr">
        <is>
          <t>STRESS-&gt;RISK
Current avg</t>
        </is>
      </c>
      <c r="H5" s="65" t="inlineStr">
        <is>
          <t>RISK-&gt;TOXIC
N confirmed</t>
        </is>
      </c>
      <c r="I5" s="65" t="inlineStr">
        <is>
          <t>RISK-&gt;TOXIC
Current avg</t>
        </is>
      </c>
    </row>
    <row r="6" ht="15.75" customHeight="1" s="59">
      <c r="A6" s="75" t="inlineStr">
        <is>
          <t>Ni1</t>
        </is>
      </c>
      <c r="B6" s="76" t="n">
        <v>0</v>
      </c>
      <c r="C6" s="76" t="inlineStr">
        <is>
          <t>—</t>
        </is>
      </c>
      <c r="D6" s="76" t="n">
        <v>0</v>
      </c>
      <c r="E6" s="76" t="inlineStr">
        <is>
          <t>—</t>
        </is>
      </c>
      <c r="F6" s="76" t="n">
        <v>0</v>
      </c>
      <c r="G6" s="76" t="inlineStr">
        <is>
          <t>—</t>
        </is>
      </c>
      <c r="H6" s="76" t="n">
        <v>0</v>
      </c>
      <c r="I6" s="76" t="inlineStr">
        <is>
          <t>—</t>
        </is>
      </c>
    </row>
    <row r="7" ht="15.75" customHeight="1" s="59">
      <c r="A7" s="77" t="inlineStr">
        <is>
          <t>Te1</t>
        </is>
      </c>
      <c r="B7" s="78" t="n">
        <v>0</v>
      </c>
      <c r="C7" s="78" t="inlineStr">
        <is>
          <t>—</t>
        </is>
      </c>
      <c r="D7" s="78" t="n">
        <v>0</v>
      </c>
      <c r="E7" s="78" t="inlineStr">
        <is>
          <t>—</t>
        </is>
      </c>
      <c r="F7" s="78" t="n">
        <v>0</v>
      </c>
      <c r="G7" s="78" t="inlineStr">
        <is>
          <t>—</t>
        </is>
      </c>
      <c r="H7" s="78" t="n">
        <v>0</v>
      </c>
      <c r="I7" s="78" t="inlineStr">
        <is>
          <t>—</t>
        </is>
      </c>
    </row>
    <row r="8" ht="15.75" customHeight="1" s="59">
      <c r="A8" s="75" t="inlineStr">
        <is>
          <t>Ti1</t>
        </is>
      </c>
      <c r="B8" s="76" t="n">
        <v>0</v>
      </c>
      <c r="C8" s="76" t="inlineStr">
        <is>
          <t>—</t>
        </is>
      </c>
      <c r="D8" s="76" t="n">
        <v>0</v>
      </c>
      <c r="E8" s="76" t="inlineStr">
        <is>
          <t>—</t>
        </is>
      </c>
      <c r="F8" s="76" t="n">
        <v>0</v>
      </c>
      <c r="G8" s="76" t="inlineStr">
        <is>
          <t>—</t>
        </is>
      </c>
      <c r="H8" s="76" t="n">
        <v>0</v>
      </c>
      <c r="I8" s="76" t="inlineStr">
        <is>
          <t>—</t>
        </is>
      </c>
    </row>
    <row r="9" ht="15.75" customHeight="1" s="59">
      <c r="A9" s="77" t="inlineStr">
        <is>
          <t>Ne1</t>
        </is>
      </c>
      <c r="B9" s="78" t="n">
        <v>0</v>
      </c>
      <c r="C9" s="78" t="inlineStr">
        <is>
          <t>—</t>
        </is>
      </c>
      <c r="D9" s="78" t="n">
        <v>0</v>
      </c>
      <c r="E9" s="78" t="inlineStr">
        <is>
          <t>—</t>
        </is>
      </c>
      <c r="F9" s="78" t="n">
        <v>0</v>
      </c>
      <c r="G9" s="78" t="inlineStr">
        <is>
          <t>—</t>
        </is>
      </c>
      <c r="H9" s="78" t="n">
        <v>0</v>
      </c>
      <c r="I9" s="78" t="inlineStr">
        <is>
          <t>—</t>
        </is>
      </c>
    </row>
    <row r="10" ht="15.75" customHeight="1" s="59">
      <c r="A10" s="75" t="inlineStr">
        <is>
          <t>Fe1</t>
        </is>
      </c>
      <c r="B10" s="76" t="n">
        <v>0</v>
      </c>
      <c r="C10" s="76" t="inlineStr">
        <is>
          <t>—</t>
        </is>
      </c>
      <c r="D10" s="76" t="n">
        <v>0</v>
      </c>
      <c r="E10" s="76" t="inlineStr">
        <is>
          <t>—</t>
        </is>
      </c>
      <c r="F10" s="76" t="n">
        <v>0</v>
      </c>
      <c r="G10" s="76" t="inlineStr">
        <is>
          <t>—</t>
        </is>
      </c>
      <c r="H10" s="76" t="n">
        <v>0</v>
      </c>
      <c r="I10" s="76" t="inlineStr">
        <is>
          <t>—</t>
        </is>
      </c>
    </row>
    <row r="11" ht="15.75" customHeight="1" s="59">
      <c r="A11" s="77" t="inlineStr">
        <is>
          <t>Se1</t>
        </is>
      </c>
      <c r="B11" s="78" t="n">
        <v>0</v>
      </c>
      <c r="C11" s="78" t="inlineStr">
        <is>
          <t>—</t>
        </is>
      </c>
      <c r="D11" s="78" t="n">
        <v>0</v>
      </c>
      <c r="E11" s="78" t="inlineStr">
        <is>
          <t>—</t>
        </is>
      </c>
      <c r="F11" s="78" t="n">
        <v>0</v>
      </c>
      <c r="G11" s="78" t="inlineStr">
        <is>
          <t>—</t>
        </is>
      </c>
      <c r="H11" s="78" t="n">
        <v>0</v>
      </c>
      <c r="I11" s="78" t="inlineStr">
        <is>
          <t>—</t>
        </is>
      </c>
    </row>
    <row r="12" ht="15.75" customHeight="1" s="59">
      <c r="A12" s="75" t="inlineStr">
        <is>
          <t>Si1</t>
        </is>
      </c>
      <c r="B12" s="76" t="n">
        <v>0</v>
      </c>
      <c r="C12" s="76" t="inlineStr">
        <is>
          <t>—</t>
        </is>
      </c>
      <c r="D12" s="76" t="n">
        <v>0</v>
      </c>
      <c r="E12" s="76" t="inlineStr">
        <is>
          <t>—</t>
        </is>
      </c>
      <c r="F12" s="76" t="n">
        <v>0</v>
      </c>
      <c r="G12" s="76" t="inlineStr">
        <is>
          <t>—</t>
        </is>
      </c>
      <c r="H12" s="76" t="n">
        <v>0</v>
      </c>
      <c r="I12" s="76" t="inlineStr">
        <is>
          <t>—</t>
        </is>
      </c>
    </row>
    <row r="13" ht="15.75" customHeight="1" s="59">
      <c r="A13" s="77" t="inlineStr">
        <is>
          <t>Fi1</t>
        </is>
      </c>
      <c r="B13" s="78" t="n">
        <v>0</v>
      </c>
      <c r="C13" s="78" t="inlineStr">
        <is>
          <t>—</t>
        </is>
      </c>
      <c r="D13" s="78" t="n">
        <v>0</v>
      </c>
      <c r="E13" s="78" t="inlineStr">
        <is>
          <t>—</t>
        </is>
      </c>
      <c r="F13" s="78" t="n">
        <v>0</v>
      </c>
      <c r="G13" s="78" t="inlineStr">
        <is>
          <t>—</t>
        </is>
      </c>
      <c r="H13" s="78" t="n">
        <v>0</v>
      </c>
      <c r="I13" s="78" t="inlineStr">
        <is>
          <t>—</t>
        </is>
      </c>
    </row>
    <row r="14" ht="18" customHeight="1" s="59">
      <c r="A14" s="79" t="inlineStr">
        <is>
          <t>CALIBRATION ACTIONS  |  Triggered by N counter in status table</t>
        </is>
      </c>
    </row>
    <row r="15" ht="48" customHeight="1" s="59">
      <c r="A15" s="80" t="inlineStr">
        <is>
          <t>When N=5 for any cell</t>
        </is>
      </c>
      <c r="B15" s="81" t="inlineStr">
        <is>
          <t>1. Filter CALIBRATION_LOG for that function + transition combination. 2. Compute average of Actual TR column. 3. Open ST_Transition_Rate_Engine_v1.xlsx BASE_RATES. 4. Replace the yellow prior value with the computed average. Change cell background to green. 5. Enter YES in Update_Applied column of this log for all contributing rows. 6. Update N counter in STATUS TABLE above.</t>
        </is>
      </c>
      <c r="C15" s="82" t="n"/>
      <c r="D15" s="82" t="n"/>
      <c r="E15" s="82" t="n"/>
      <c r="F15" s="82" t="n"/>
      <c r="G15" s="82" t="n"/>
      <c r="H15" s="82" t="n"/>
      <c r="I15" s="83" t="n"/>
    </row>
    <row r="16" ht="48" customHeight="1" s="59">
      <c r="A16" s="80" t="inlineStr">
        <is>
          <t>When N=10 for any cell</t>
        </is>
      </c>
      <c r="B16" s="84" t="inlineStr">
        <is>
          <t>All N=5 actions apply, plus: open ST_Transition_Rate_Engine_v1.xlsx CALC_OUTPUT. For each actor row where Dom.Function matches: update CB Lower formula from x0.75 to x0.85 and CB Upper from x1.25 to x1.15. Document the update here with date and deal IDs used.</t>
        </is>
      </c>
      <c r="C16" s="82" t="n"/>
      <c r="D16" s="82" t="n"/>
      <c r="E16" s="82" t="n"/>
      <c r="F16" s="82" t="n"/>
      <c r="G16" s="82" t="n"/>
      <c r="H16" s="82" t="n"/>
      <c r="I16" s="83" t="n"/>
    </row>
    <row r="17" ht="48" customHeight="1" s="59">
      <c r="A17" s="80" t="inlineStr">
        <is>
          <t>When N=3 with all FALSIFIED outcomes</t>
        </is>
      </c>
      <c r="B17" s="81" t="inlineStr">
        <is>
          <t>Methodology review required before further use of that function-transition pair. Flag in ACCURACY_DASHBOARD. Do not update BASE_RATES until falsification pattern is diagnosed. Common cause: baseline pressure assumption [2,2,2,2,2] may be miscalibrated for this environment class.</t>
        </is>
      </c>
      <c r="C17" s="82" t="n"/>
      <c r="D17" s="82" t="n"/>
      <c r="E17" s="82" t="n"/>
      <c r="F17" s="82" t="n"/>
      <c r="G17" s="82" t="n"/>
      <c r="H17" s="82" t="n"/>
      <c r="I17" s="83" t="n"/>
    </row>
    <row r="18" ht="18" customHeight="1" s="59">
      <c r="A18" s="74" t="inlineStr">
        <is>
          <t>CALIBRATION ENTRIES  |  One row per CONFIRMED or PARTIAL Prediction 2 outcome</t>
        </is>
      </c>
    </row>
    <row r="19" ht="31.5" customHeight="1" s="59">
      <c r="A19" s="65" t="inlineStr">
        <is>
          <t>Dom.
Function</t>
        </is>
      </c>
      <c r="B19" s="65" t="inlineStr">
        <is>
          <t>Transition
Category</t>
        </is>
      </c>
      <c r="C19" s="65" t="inlineStr">
        <is>
          <t>Deal ID</t>
        </is>
      </c>
      <c r="D19" s="65" t="inlineStr">
        <is>
          <t>Predicted TR
(months)</t>
        </is>
      </c>
      <c r="E19" s="65" t="inlineStr">
        <is>
          <t>Actual TR
(months)</t>
        </is>
      </c>
      <c r="F19" s="65" t="inlineStr">
        <is>
          <t>Error
(actual-predicted)</t>
        </is>
      </c>
      <c r="G19" s="65" t="inlineStr">
        <is>
          <t>N
(running)</t>
        </is>
      </c>
      <c r="H19" s="65" t="inlineStr">
        <is>
          <t>Running avg
(actual TR)</t>
        </is>
      </c>
      <c r="I19" s="65" t="inlineStr">
        <is>
          <t>Update applied?</t>
        </is>
      </c>
    </row>
    <row r="20" ht="15.75" customHeight="1" s="59">
      <c r="A20" s="67" t="inlineStr">
        <is>
          <t>Ni1</t>
        </is>
      </c>
      <c r="B20" s="67" t="inlineStr">
        <is>
          <t>NATURAL-&gt;FUNCTIONAL</t>
        </is>
      </c>
      <c r="C20" s="67" t="inlineStr">
        <is>
          <t>DEAL-001</t>
        </is>
      </c>
      <c r="D20" s="67" t="n">
        <v>18</v>
      </c>
      <c r="E20" s="67" t="inlineStr">
        <is>
          <t>—</t>
        </is>
      </c>
      <c r="F20" s="67" t="inlineStr">
        <is>
          <t>—</t>
        </is>
      </c>
      <c r="G20" s="67" t="n">
        <v>1</v>
      </c>
      <c r="H20" s="67" t="inlineStr">
        <is>
          <t>—</t>
        </is>
      </c>
      <c r="I20" s="67" t="inlineStr">
        <is>
          <t>NO</t>
        </is>
      </c>
    </row>
    <row r="21" ht="15.75" customHeight="1" s="59">
      <c r="A21" s="85" t="inlineStr">
        <is>
          <t>[EXAMPLE ROW — add rows as verification outcomes are confirmed. Pending actual TR stays — until Month 12 confirmed.]</t>
        </is>
      </c>
    </row>
  </sheetData>
  <mergeCells count="9">
    <mergeCell ref="A2:I2"/>
    <mergeCell ref="B15:I15"/>
    <mergeCell ref="B16:I16"/>
    <mergeCell ref="A14:I14"/>
    <mergeCell ref="A1:I1"/>
    <mergeCell ref="A18:I18"/>
    <mergeCell ref="A4:I4"/>
    <mergeCell ref="A21:I21"/>
    <mergeCell ref="B17:I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58" min="1" max="1"/>
    <col width="18" customWidth="1" style="58" min="2" max="2"/>
    <col width="14" customWidth="1" style="58" min="3" max="6"/>
    <col width="22" customWidth="1" style="58" min="7" max="7"/>
    <col width="28" customWidth="1" style="58" min="8" max="8"/>
  </cols>
  <sheetData>
    <row r="1" ht="21.75" customHeight="1" s="59">
      <c r="A1" s="60" t="inlineStr">
        <is>
          <t>ACCURACY DASHBOARD  |  Commercial credibility exhibit  |  Update after each verification checkpoint</t>
        </is>
      </c>
    </row>
    <row r="2" ht="24" customHeight="1" s="59">
      <c r="A2" s="72" t="inlineStr">
        <is>
          <t>This sheet is the primary institutional credibility exhibit. It answers the question: how accurate are the predictions? Share with institutional clients and investors as evidence of model validity. All figures in this sheet derive from VERIFICATION_LOG — never hardcode.</t>
        </is>
      </c>
    </row>
    <row r="3" ht="18" customHeight="1" s="59">
      <c r="A3" s="74" t="inlineStr">
        <is>
          <t>OVERALL PREDICTION ACCURACY  |  All predictions, all checkpoints</t>
        </is>
      </c>
    </row>
    <row r="4" ht="19.5" customHeight="1" s="59">
      <c r="A4" s="86" t="inlineStr">
        <is>
          <t>Total sealed predictions</t>
        </is>
      </c>
      <c r="B4" s="87">
        <f>COUNTA(SEALED_PREDICTIONS!A4:A1000)-COUNTIF(SEALED_PREDICTIONS!A4:A1000,"[EXAMPLE*")</f>
        <v/>
      </c>
      <c r="C4" s="82" t="n"/>
      <c r="D4" s="83" t="n"/>
      <c r="E4" s="88" t="inlineStr">
        <is>
          <t>Enter manually after verification rounds</t>
        </is>
      </c>
      <c r="F4" s="82" t="n"/>
      <c r="G4" s="82" t="n"/>
      <c r="H4" s="83" t="n"/>
    </row>
    <row r="5" ht="19.5" customHeight="1" s="59">
      <c r="A5" s="89" t="inlineStr">
        <is>
          <t>Total verified predictions</t>
        </is>
      </c>
      <c r="B5" s="90">
        <f>COUNTIF(VERIFICATION_LOG!H4:H503,"CONFIRMED")+COUNTIF(VERIFICATION_LOG!H4:H503,"PARTIAL")+COUNTIF(VERIFICATION_LOG!H4:H503,"FALSIFIED")+COUNTIF(VERIFICATION_LOG!H4:H503,"INSUFFICIENT_DATA")</f>
        <v/>
      </c>
      <c r="C5" s="82" t="n"/>
      <c r="D5" s="83" t="n"/>
      <c r="E5" s="88" t="inlineStr">
        <is>
          <t>Auto-calculated from VERIFICATION_LOG col H (excludes PENDING rows)</t>
        </is>
      </c>
      <c r="F5" s="82" t="n"/>
      <c r="G5" s="82" t="n"/>
      <c r="H5" s="83" t="n"/>
    </row>
    <row r="6" ht="19.5" customHeight="1" s="59">
      <c r="A6" s="86" t="inlineStr">
        <is>
          <t>Prediction 1 accuracy (first signal)</t>
        </is>
      </c>
      <c r="B6" s="90">
        <f>IF((COUNTIFS(VERIFICATION_LOG!E4:E503,"1",VERIFICATION_LOG!H4:H503,"CONFIRMED")+COUNTIFS(VERIFICATION_LOG!E4:E503,"1",VERIFICATION_LOG!H4:H503,"PARTIAL")+COUNTIFS(VERIFICATION_LOG!E4:E503,"1",VERIFICATION_LOG!H4:H503,"FALSIFIED"))=0,"—",ROUND((COUNTIFS(VERIFICATION_LOG!E4:E503,"1",VERIFICATION_LOG!H4:H503,"CONFIRMED")+COUNTIFS(VERIFICATION_LOG!E4:E503,"1",VERIFICATION_LOG!H4:H503,"PARTIAL"))/(COUNTIFS(VERIFICATION_LOG!E4:E503,"1",VERIFICATION_LOG!H4:H503,"CONFIRMED")+COUNTIFS(VERIFICATION_LOG!E4:E503,"1",VERIFICATION_LOG!H4:H503,"PARTIAL")+COUNTIFS(VERIFICATION_LOG!E4:E503,"1",VERIFICATION_LOG!H4:H503,"FALSIFIED"))*100,1)&amp;"%")</f>
        <v/>
      </c>
      <c r="C6" s="82" t="n"/>
      <c r="D6" s="83" t="n"/>
      <c r="E6" s="88" t="inlineStr">
        <is>
          <t>CONFIRMED+PARTIAL / (CONFIRMED+PARTIAL+FALSIFIED) for Prediction 1 rows</t>
        </is>
      </c>
      <c r="F6" s="82" t="n"/>
      <c r="G6" s="82" t="n"/>
      <c r="H6" s="83" t="n"/>
    </row>
    <row r="7" ht="19.5" customHeight="1" s="59">
      <c r="A7" s="89" t="inlineStr">
        <is>
          <t>Prediction 2 accuracy (transition rate)</t>
        </is>
      </c>
      <c r="B7" s="90">
        <f>IF((COUNTIFS(VERIFICATION_LOG!E4:E503,"2",VERIFICATION_LOG!H4:H503,"CONFIRMED")+COUNTIFS(VERIFICATION_LOG!E4:E503,"2",VERIFICATION_LOG!H4:H503,"PARTIAL")+COUNTIFS(VERIFICATION_LOG!E4:E503,"2",VERIFICATION_LOG!H4:H503,"FALSIFIED"))=0,"—",ROUND(COUNTIFS(VERIFICATION_LOG!E4:E503,"2",VERIFICATION_LOG!H4:H503,"CONFIRMED")/(COUNTIFS(VERIFICATION_LOG!E4:E503,"2",VERIFICATION_LOG!H4:H503,"CONFIRMED")+COUNTIFS(VERIFICATION_LOG!E4:E503,"2",VERIFICATION_LOG!H4:H503,"PARTIAL")+COUNTIFS(VERIFICATION_LOG!E4:E503,"2",VERIFICATION_LOG!H4:H503,"FALSIFIED"))*100,1)&amp;"%")</f>
        <v/>
      </c>
      <c r="C7" s="82" t="n"/>
      <c r="D7" s="83" t="n"/>
      <c r="E7" s="88" t="inlineStr">
        <is>
          <t>CONFIRMED within CB / (CONFIRMED+PARTIAL+FALSIFIED) for Prediction 2 rows — CB accuracy measure</t>
        </is>
      </c>
      <c r="F7" s="82" t="n"/>
      <c r="G7" s="82" t="n"/>
      <c r="H7" s="83" t="n"/>
    </row>
    <row r="8" ht="19.5" customHeight="1" s="59">
      <c r="A8" s="86" t="inlineStr">
        <is>
          <t>Prediction 3 accuracy (departure window)</t>
        </is>
      </c>
      <c r="B8" s="90">
        <f>IF((COUNTIFS(VERIFICATION_LOG!E4:E503,"3",VERIFICATION_LOG!H4:H503,"CONFIRMED")+COUNTIFS(VERIFICATION_LOG!E4:E503,"3",VERIFICATION_LOG!H4:H503,"PARTIAL")+COUNTIFS(VERIFICATION_LOG!E4:E503,"3",VERIFICATION_LOG!H4:H503,"FALSIFIED"))=0,"—",ROUND((COUNTIFS(VERIFICATION_LOG!E4:E503,"3",VERIFICATION_LOG!H4:H503,"CONFIRMED")+COUNTIFS(VERIFICATION_LOG!E4:E503,"3",VERIFICATION_LOG!H4:H503,"PARTIAL"))/(COUNTIFS(VERIFICATION_LOG!E4:E503,"3",VERIFICATION_LOG!H4:H503,"CONFIRMED")+COUNTIFS(VERIFICATION_LOG!E4:E503,"3",VERIFICATION_LOG!H4:H503,"PARTIAL")+COUNTIFS(VERIFICATION_LOG!E4:E503,"3",VERIFICATION_LOG!H4:H503,"FALSIFIED"))*100,1)&amp;"%")</f>
        <v/>
      </c>
      <c r="C8" s="82" t="n"/>
      <c r="D8" s="83" t="n"/>
      <c r="E8" s="88" t="inlineStr">
        <is>
          <t>CONFIRMED+PARTIAL / (CONFIRMED+PARTIAL+FALSIFIED) for Prediction 3 rows</t>
        </is>
      </c>
      <c r="F8" s="82" t="n"/>
      <c r="G8" s="82" t="n"/>
      <c r="H8" s="83" t="n"/>
    </row>
    <row r="9" ht="19.5" customHeight="1" s="59">
      <c r="A9" s="89" t="inlineStr">
        <is>
          <t>Overall accuracy (all P, all checkpoints)</t>
        </is>
      </c>
      <c r="B9" s="91">
        <f>IF((COUNTIF(VERIFICATION_LOG!H4:H503,"CONFIRMED")+COUNTIF(VERIFICATION_LOG!H4:H503,"PARTIAL")+COUNTIF(VERIFICATION_LOG!H4:H503,"FALSIFIED"))=0,"—",ROUND((COUNTIF(VERIFICATION_LOG!H4:H503,"CONFIRMED")+COUNTIF(VERIFICATION_LOG!H4:H503,"PARTIAL"))/(COUNTIF(VERIFICATION_LOG!H4:H503,"CONFIRMED")+COUNTIF(VERIFICATION_LOG!H4:H503,"PARTIAL")+COUNTIF(VERIFICATION_LOG!H4:H503,"FALSIFIED"))*100,1)&amp;"%")</f>
        <v/>
      </c>
      <c r="C9" s="82" t="n"/>
      <c r="D9" s="83" t="n"/>
      <c r="E9" s="92" t="inlineStr">
        <is>
          <t>Overall: (CONFIRMED+PARTIAL) / (CONFIRMED+PARTIAL+FALSIFIED) — primary institutional exhibit figure</t>
        </is>
      </c>
      <c r="F9" s="82" t="n"/>
      <c r="G9" s="82" t="n"/>
      <c r="H9" s="83" t="n"/>
    </row>
    <row r="10" ht="24" customHeight="1" s="59">
      <c r="A10" s="86" t="inlineStr">
        <is>
          <t>Average Prediction 2 error (months)</t>
        </is>
      </c>
      <c r="B10" s="93" t="inlineStr">
        <is>
          <t>Manual entry required</t>
        </is>
      </c>
      <c r="C10" s="82" t="n"/>
      <c r="D10" s="83" t="n"/>
      <c r="E10" s="68" t="inlineStr">
        <is>
          <t>Avg P2 error: compute from CALIBRATION_LOG col F (Error = actual-predicted). Requires numeric Actual TR entry in CALIBRATION_LOG — not formula-derivable from free-text VERIFICATION_LOG col J.</t>
        </is>
      </c>
      <c r="F10" s="82" t="n"/>
      <c r="G10" s="82" t="n"/>
      <c r="H10" s="83" t="n"/>
    </row>
    <row r="11" ht="24" customHeight="1" s="59">
      <c r="A11" s="89" t="inlineStr">
        <is>
          <t>PM calibration status</t>
        </is>
      </c>
      <c r="B11" s="93" t="inlineStr">
        <is>
          <t>Manual entry required</t>
        </is>
      </c>
      <c r="C11" s="82" t="n"/>
      <c r="D11" s="83" t="n"/>
      <c r="E11" s="68" t="inlineStr">
        <is>
          <t>PM calibration status: manually note which function-transition pairs have N&gt;=5 calibrated cases. Read from CALIBRATION_LOG STATUS TABLE.</t>
        </is>
      </c>
      <c r="F11" s="82" t="n"/>
      <c r="G11" s="82" t="n"/>
      <c r="H11" s="83" t="n"/>
    </row>
    <row r="12" ht="18" customHeight="1" s="59">
      <c r="A12" s="94" t="inlineStr">
        <is>
          <t>ACCURACY BY DOMINANT FUNCTION  |  Prediction 2 (transition rate) only</t>
        </is>
      </c>
    </row>
    <row r="13" ht="31.5" customHeight="1" s="59">
      <c r="A13" s="65" t="inlineStr">
        <is>
          <t>Dom. Function</t>
        </is>
      </c>
      <c r="B13" s="65" t="inlineStr">
        <is>
          <t>N sealed</t>
        </is>
      </c>
      <c r="C13" s="65" t="inlineStr">
        <is>
          <t>N verified</t>
        </is>
      </c>
      <c r="D13" s="65" t="inlineStr">
        <is>
          <t>N confirmed</t>
        </is>
      </c>
      <c r="E13" s="65" t="inlineStr">
        <is>
          <t>N partial</t>
        </is>
      </c>
      <c r="F13" s="65" t="inlineStr">
        <is>
          <t>N falsified</t>
        </is>
      </c>
      <c r="G13" s="65" t="inlineStr">
        <is>
          <t>CB accuracy %
(confirmed/verified)</t>
        </is>
      </c>
      <c r="H13" s="65" t="inlineStr">
        <is>
          <t>Notes</t>
        </is>
      </c>
    </row>
    <row r="14" ht="15.75" customHeight="1" s="59">
      <c r="A14" s="75" t="inlineStr">
        <is>
          <t>Ni1</t>
        </is>
      </c>
      <c r="B14" s="95">
        <f>COUNTIF(SEALED_PREDICTIONS!D4:D1000,"Ni1")</f>
        <v/>
      </c>
      <c r="C14" s="76">
        <f>COUNTIFS(VERIFICATION_LOG!B4:B503,"Ni1",VERIFICATION_LOG!H4:H503,"CONFIRMED")+COUNTIFS(VERIFICATION_LOG!B4:B503,"Ni1",VERIFICATION_LOG!H4:H503,"PARTIAL")+COUNTIFS(VERIFICATION_LOG!B4:B503,"Ni1",VERIFICATION_LOG!H4:H503,"FALSIFIED")</f>
        <v/>
      </c>
      <c r="D14" s="96">
        <f>COUNTIFS(VERIFICATION_LOG!B4:B503,"Ni1",VERIFICATION_LOG!H4:H503,"CONFIRMED")</f>
        <v/>
      </c>
      <c r="E14" s="76">
        <f>COUNTIFS(VERIFICATION_LOG!B4:B503,"Ni1",VERIFICATION_LOG!H4:H503,"PARTIAL")</f>
        <v/>
      </c>
      <c r="F14" s="97">
        <f>COUNTIFS(VERIFICATION_LOG!B4:B503,"Ni1",VERIFICATION_LOG!H4:H503,"FALSIFIED")</f>
        <v/>
      </c>
      <c r="G14" s="98">
        <f>IF(C14=0,"—",ROUND(D14/C14*100,1)&amp;"%")</f>
        <v/>
      </c>
      <c r="H14" s="88" t="inlineStr">
        <is>
          <t>Update after each checkpoint</t>
        </is>
      </c>
    </row>
    <row r="15" ht="15.75" customHeight="1" s="59">
      <c r="A15" s="77" t="inlineStr">
        <is>
          <t>Te1</t>
        </is>
      </c>
      <c r="B15" s="95">
        <f>COUNTIF(SEALED_PREDICTIONS!D4:D1000,"Te1")</f>
        <v/>
      </c>
      <c r="C15" s="78">
        <f>COUNTIFS(VERIFICATION_LOG!B4:B503,"Te1",VERIFICATION_LOG!H4:H503,"CONFIRMED")+COUNTIFS(VERIFICATION_LOG!B4:B503,"Te1",VERIFICATION_LOG!H4:H503,"PARTIAL")+COUNTIFS(VERIFICATION_LOG!B4:B503,"Te1",VERIFICATION_LOG!H4:H503,"FALSIFIED")</f>
        <v/>
      </c>
      <c r="D15" s="99">
        <f>COUNTIFS(VERIFICATION_LOG!B4:B503,"Te1",VERIFICATION_LOG!H4:H503,"CONFIRMED")</f>
        <v/>
      </c>
      <c r="E15" s="78">
        <f>COUNTIFS(VERIFICATION_LOG!B4:B503,"Te1",VERIFICATION_LOG!H4:H503,"PARTIAL")</f>
        <v/>
      </c>
      <c r="F15" s="100">
        <f>COUNTIFS(VERIFICATION_LOG!B4:B503,"Te1",VERIFICATION_LOG!H4:H503,"FALSIFIED")</f>
        <v/>
      </c>
      <c r="G15" s="98">
        <f>IF(C15=0,"—",ROUND(D15/C15*100,1)&amp;"%")</f>
        <v/>
      </c>
      <c r="H15" s="101" t="inlineStr">
        <is>
          <t>Update after each checkpoint</t>
        </is>
      </c>
    </row>
    <row r="16" ht="15.75" customHeight="1" s="59">
      <c r="A16" s="75" t="inlineStr">
        <is>
          <t>Ti1</t>
        </is>
      </c>
      <c r="B16" s="95">
        <f>COUNTIF(SEALED_PREDICTIONS!D4:D1000,"Ti1")</f>
        <v/>
      </c>
      <c r="C16" s="76">
        <f>COUNTIFS(VERIFICATION_LOG!B4:B503,"Ti1",VERIFICATION_LOG!H4:H503,"CONFIRMED")+COUNTIFS(VERIFICATION_LOG!B4:B503,"Ti1",VERIFICATION_LOG!H4:H503,"PARTIAL")+COUNTIFS(VERIFICATION_LOG!B4:B503,"Ti1",VERIFICATION_LOG!H4:H503,"FALSIFIED")</f>
        <v/>
      </c>
      <c r="D16" s="96">
        <f>COUNTIFS(VERIFICATION_LOG!B4:B503,"Ti1",VERIFICATION_LOG!H4:H503,"CONFIRMED")</f>
        <v/>
      </c>
      <c r="E16" s="76">
        <f>COUNTIFS(VERIFICATION_LOG!B4:B503,"Ti1",VERIFICATION_LOG!H4:H503,"PARTIAL")</f>
        <v/>
      </c>
      <c r="F16" s="97">
        <f>COUNTIFS(VERIFICATION_LOG!B4:B503,"Ti1",VERIFICATION_LOG!H4:H503,"FALSIFIED")</f>
        <v/>
      </c>
      <c r="G16" s="98">
        <f>IF(C16=0,"—",ROUND(D16/C16*100,1)&amp;"%")</f>
        <v/>
      </c>
      <c r="H16" s="88" t="inlineStr">
        <is>
          <t>Update after each checkpoint</t>
        </is>
      </c>
    </row>
    <row r="17" ht="15.75" customHeight="1" s="59">
      <c r="A17" s="77" t="inlineStr">
        <is>
          <t>Ne1</t>
        </is>
      </c>
      <c r="B17" s="95">
        <f>COUNTIF(SEALED_PREDICTIONS!D4:D1000,"Ne1")</f>
        <v/>
      </c>
      <c r="C17" s="78">
        <f>COUNTIFS(VERIFICATION_LOG!B4:B503,"Ne1",VERIFICATION_LOG!H4:H503,"CONFIRMED")+COUNTIFS(VERIFICATION_LOG!B4:B503,"Ne1",VERIFICATION_LOG!H4:H503,"PARTIAL")+COUNTIFS(VERIFICATION_LOG!B4:B503,"Ne1",VERIFICATION_LOG!H4:H503,"FALSIFIED")</f>
        <v/>
      </c>
      <c r="D17" s="99">
        <f>COUNTIFS(VERIFICATION_LOG!B4:B503,"Ne1",VERIFICATION_LOG!H4:H503,"CONFIRMED")</f>
        <v/>
      </c>
      <c r="E17" s="78">
        <f>COUNTIFS(VERIFICATION_LOG!B4:B503,"Ne1",VERIFICATION_LOG!H4:H503,"PARTIAL")</f>
        <v/>
      </c>
      <c r="F17" s="100">
        <f>COUNTIFS(VERIFICATION_LOG!B4:B503,"Ne1",VERIFICATION_LOG!H4:H503,"FALSIFIED")</f>
        <v/>
      </c>
      <c r="G17" s="98">
        <f>IF(C17=0,"—",ROUND(D17/C17*100,1)&amp;"%")</f>
        <v/>
      </c>
      <c r="H17" s="101" t="inlineStr">
        <is>
          <t>Update after each checkpoint</t>
        </is>
      </c>
    </row>
    <row r="18" ht="15.75" customHeight="1" s="59">
      <c r="A18" s="75" t="inlineStr">
        <is>
          <t>Fe1</t>
        </is>
      </c>
      <c r="B18" s="95">
        <f>COUNTIF(SEALED_PREDICTIONS!D4:D1000,"Fe1")</f>
        <v/>
      </c>
      <c r="C18" s="76">
        <f>COUNTIFS(VERIFICATION_LOG!B4:B503,"Fe1",VERIFICATION_LOG!H4:H503,"CONFIRMED")+COUNTIFS(VERIFICATION_LOG!B4:B503,"Fe1",VERIFICATION_LOG!H4:H503,"PARTIAL")+COUNTIFS(VERIFICATION_LOG!B4:B503,"Fe1",VERIFICATION_LOG!H4:H503,"FALSIFIED")</f>
        <v/>
      </c>
      <c r="D18" s="96">
        <f>COUNTIFS(VERIFICATION_LOG!B4:B503,"Fe1",VERIFICATION_LOG!H4:H503,"CONFIRMED")</f>
        <v/>
      </c>
      <c r="E18" s="76">
        <f>COUNTIFS(VERIFICATION_LOG!B4:B503,"Fe1",VERIFICATION_LOG!H4:H503,"PARTIAL")</f>
        <v/>
      </c>
      <c r="F18" s="97">
        <f>COUNTIFS(VERIFICATION_LOG!B4:B503,"Fe1",VERIFICATION_LOG!H4:H503,"FALSIFIED")</f>
        <v/>
      </c>
      <c r="G18" s="98">
        <f>IF(C18=0,"—",ROUND(D18/C18*100,1)&amp;"%")</f>
        <v/>
      </c>
      <c r="H18" s="88" t="inlineStr">
        <is>
          <t>Update after each checkpoint</t>
        </is>
      </c>
    </row>
    <row r="19" ht="15.75" customHeight="1" s="59">
      <c r="A19" s="77" t="inlineStr">
        <is>
          <t>Se1</t>
        </is>
      </c>
      <c r="B19" s="95">
        <f>COUNTIF(SEALED_PREDICTIONS!D4:D1000,"Se1")</f>
        <v/>
      </c>
      <c r="C19" s="78">
        <f>COUNTIFS(VERIFICATION_LOG!B4:B503,"Se1",VERIFICATION_LOG!H4:H503,"CONFIRMED")+COUNTIFS(VERIFICATION_LOG!B4:B503,"Se1",VERIFICATION_LOG!H4:H503,"PARTIAL")+COUNTIFS(VERIFICATION_LOG!B4:B503,"Se1",VERIFICATION_LOG!H4:H503,"FALSIFIED")</f>
        <v/>
      </c>
      <c r="D19" s="99">
        <f>COUNTIFS(VERIFICATION_LOG!B4:B503,"Se1",VERIFICATION_LOG!H4:H503,"CONFIRMED")</f>
        <v/>
      </c>
      <c r="E19" s="78">
        <f>COUNTIFS(VERIFICATION_LOG!B4:B503,"Se1",VERIFICATION_LOG!H4:H503,"PARTIAL")</f>
        <v/>
      </c>
      <c r="F19" s="100">
        <f>COUNTIFS(VERIFICATION_LOG!B4:B503,"Se1",VERIFICATION_LOG!H4:H503,"FALSIFIED")</f>
        <v/>
      </c>
      <c r="G19" s="98">
        <f>IF(C19=0,"—",ROUND(D19/C19*100,1)&amp;"%")</f>
        <v/>
      </c>
      <c r="H19" s="101" t="inlineStr">
        <is>
          <t>Update after each checkpoint</t>
        </is>
      </c>
    </row>
    <row r="20" ht="15.75" customHeight="1" s="59">
      <c r="A20" s="75" t="inlineStr">
        <is>
          <t>Si1</t>
        </is>
      </c>
      <c r="B20" s="95">
        <f>COUNTIF(SEALED_PREDICTIONS!D4:D1000,"Si1")</f>
        <v/>
      </c>
      <c r="C20" s="76">
        <f>COUNTIFS(VERIFICATION_LOG!B4:B503,"Si1",VERIFICATION_LOG!H4:H503,"CONFIRMED")+COUNTIFS(VERIFICATION_LOG!B4:B503,"Si1",VERIFICATION_LOG!H4:H503,"PARTIAL")+COUNTIFS(VERIFICATION_LOG!B4:B503,"Si1",VERIFICATION_LOG!H4:H503,"FALSIFIED")</f>
        <v/>
      </c>
      <c r="D20" s="96">
        <f>COUNTIFS(VERIFICATION_LOG!B4:B503,"Si1",VERIFICATION_LOG!H4:H503,"CONFIRMED")</f>
        <v/>
      </c>
      <c r="E20" s="76">
        <f>COUNTIFS(VERIFICATION_LOG!B4:B503,"Si1",VERIFICATION_LOG!H4:H503,"PARTIAL")</f>
        <v/>
      </c>
      <c r="F20" s="97">
        <f>COUNTIFS(VERIFICATION_LOG!B4:B503,"Si1",VERIFICATION_LOG!H4:H503,"FALSIFIED")</f>
        <v/>
      </c>
      <c r="G20" s="98">
        <f>IF(C20=0,"—",ROUND(D20/C20*100,1)&amp;"%")</f>
        <v/>
      </c>
      <c r="H20" s="88" t="inlineStr">
        <is>
          <t>Update after each checkpoint</t>
        </is>
      </c>
    </row>
    <row r="21" ht="15.75" customHeight="1" s="59">
      <c r="A21" s="77" t="inlineStr">
        <is>
          <t>Fi1</t>
        </is>
      </c>
      <c r="B21" s="95">
        <f>COUNTIF(SEALED_PREDICTIONS!D4:D1000,"Fi1")</f>
        <v/>
      </c>
      <c r="C21" s="78">
        <f>COUNTIFS(VERIFICATION_LOG!B4:B503,"Fi1",VERIFICATION_LOG!H4:H503,"CONFIRMED")+COUNTIFS(VERIFICATION_LOG!B4:B503,"Fi1",VERIFICATION_LOG!H4:H503,"PARTIAL")+COUNTIFS(VERIFICATION_LOG!B4:B503,"Fi1",VERIFICATION_LOG!H4:H503,"FALSIFIED")</f>
        <v/>
      </c>
      <c r="D21" s="99">
        <f>COUNTIFS(VERIFICATION_LOG!B4:B503,"Fi1",VERIFICATION_LOG!H4:H503,"CONFIRMED")</f>
        <v/>
      </c>
      <c r="E21" s="78">
        <f>COUNTIFS(VERIFICATION_LOG!B4:B503,"Fi1",VERIFICATION_LOG!H4:H503,"PARTIAL")</f>
        <v/>
      </c>
      <c r="F21" s="100">
        <f>COUNTIFS(VERIFICATION_LOG!B4:B503,"Fi1",VERIFICATION_LOG!H4:H503,"FALSIFIED")</f>
        <v/>
      </c>
      <c r="G21" s="98">
        <f>IF(C21=0,"—",ROUND(D21/C21*100,1)&amp;"%")</f>
        <v/>
      </c>
      <c r="H21" s="101" t="inlineStr">
        <is>
          <t>Update after each checkpoint</t>
        </is>
      </c>
    </row>
    <row r="22" ht="18" customHeight="1" s="59">
      <c r="A22" s="102" t="inlineStr">
        <is>
          <t>SEALED PREDICTION SHOWCASE  |  For institutional client and investor presentations</t>
        </is>
      </c>
    </row>
    <row r="23" ht="24" customHeight="1" s="59">
      <c r="A23" s="72" t="inlineStr">
        <is>
          <t>The following section is the client-facing credibility exhibit. Shows: deal pair, prediction made, date sealed, date verified, outcome. Anonymise deal ID for public/investor use. Never show client-identifying information externally.</t>
        </is>
      </c>
    </row>
    <row r="24" ht="31.5" customHeight="1" s="59">
      <c r="A24" s="65" t="inlineStr">
        <is>
          <t>Deal ref
(anonymised)</t>
        </is>
      </c>
      <c r="B24" s="65" t="inlineStr">
        <is>
          <t>ECS pair</t>
        </is>
      </c>
      <c r="C24" s="65" t="inlineStr">
        <is>
          <t>Prediction 2
(transition rate)</t>
        </is>
      </c>
      <c r="D24" s="65" t="inlineStr">
        <is>
          <t>Date sealed</t>
        </is>
      </c>
      <c r="E24" s="65" t="inlineStr">
        <is>
          <t>Checkpoint</t>
        </is>
      </c>
      <c r="F24" s="65" t="inlineStr">
        <is>
          <t>Actual outcome</t>
        </is>
      </c>
      <c r="G24" s="65" t="inlineStr">
        <is>
          <t>Outcome code</t>
        </is>
      </c>
      <c r="H24" s="65" t="inlineStr">
        <is>
          <t>Credibility note</t>
        </is>
      </c>
    </row>
    <row r="25" ht="36" customHeight="1" s="59">
      <c r="A25" s="103" t="inlineStr">
        <is>
          <t>DEAL-A</t>
        </is>
      </c>
      <c r="B25" s="103" t="inlineStr">
        <is>
          <t>NT/STJ x SFJ/SFP</t>
        </is>
      </c>
      <c r="C25" s="104" t="inlineStr">
        <is>
          <t>Transition NATURAL-&gt;FUNC in 13.5-22.5 months (central: 18)</t>
        </is>
      </c>
      <c r="D25" s="103" t="inlineStr">
        <is>
          <t>2026-04-20</t>
        </is>
      </c>
      <c r="E25" s="103" t="inlineStr">
        <is>
          <t>Month 6</t>
        </is>
      </c>
      <c r="F25" s="104" t="inlineStr">
        <is>
          <t>Signal confirmed week 8. Transition on track for predicted window.</t>
        </is>
      </c>
      <c r="G25" s="69" t="inlineStr">
        <is>
          <t>CONFIRMED</t>
        </is>
      </c>
      <c r="H25" s="104" t="inlineStr">
        <is>
          <t>Sealed before delivery. Verified independently at Month 6.</t>
        </is>
      </c>
    </row>
    <row r="26" ht="15.75" customHeight="1" s="59">
      <c r="A26" s="85" t="inlineStr">
        <is>
          <t>[Add verified cases here for institutional presentation. One row per verified prediction.]</t>
        </is>
      </c>
    </row>
  </sheetData>
  <mergeCells count="23">
    <mergeCell ref="B11:D11"/>
    <mergeCell ref="B8:D8"/>
    <mergeCell ref="E7:H7"/>
    <mergeCell ref="A1:H1"/>
    <mergeCell ref="B10:D10"/>
    <mergeCell ref="B9:D9"/>
    <mergeCell ref="B6:D6"/>
    <mergeCell ref="E5:H5"/>
    <mergeCell ref="A12:H12"/>
    <mergeCell ref="A3:H3"/>
    <mergeCell ref="B5:D5"/>
    <mergeCell ref="A26:H26"/>
    <mergeCell ref="E8:H8"/>
    <mergeCell ref="A2:H2"/>
    <mergeCell ref="E4:H4"/>
    <mergeCell ref="B4:D4"/>
    <mergeCell ref="A23:H23"/>
    <mergeCell ref="B7:D7"/>
    <mergeCell ref="E10:H10"/>
    <mergeCell ref="A22:H22"/>
    <mergeCell ref="E9:H9"/>
    <mergeCell ref="E6:H6"/>
    <mergeCell ref="E11:H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58" min="1" max="1"/>
    <col width="90" customWidth="1" style="58" min="2" max="2"/>
  </cols>
  <sheetData>
    <row r="1" ht="21.75" customHeight="1" s="59">
      <c r="A1" s="60" t="inlineStr">
        <is>
          <t>AGENT READ INSTRUCTIONS  |  Step 15.5 sealing protocol + verification and calibration workflow</t>
        </is>
      </c>
    </row>
    <row r="2" ht="51.75" customHeight="1" s="59">
      <c r="A2" s="61" t="inlineStr">
        <is>
          <t>When to use this file</t>
        </is>
      </c>
      <c r="B2" s="62" t="inlineStr">
        <is>
          <t>Step 15.5 — after CLIENT_OUTPUT is assembled in ST_Step3_Enhanced_Output_v1.xlsx and BEFORE delivering to the client. Also used at Month 6 and Month 12 post-close verification checkpoints. Also used after N&gt;=5 verified cases to trigger calibration updates.</t>
        </is>
      </c>
    </row>
    <row r="3" ht="51.75" customHeight="1" s="59">
      <c r="A3" s="61" t="inlineStr">
        <is>
          <t>Step 15.5 — Seal (before delivery)</t>
        </is>
      </c>
      <c r="B3" s="63" t="inlineStr">
        <is>
          <t>1. Open ST_Transition_Rate_Engine_v1.xlsx PREDICTION_REGISTER. Confirm all 10 columns of the deal row are complete. 2. Copy the row (values only — not formulas). 3. Open SEALED_PREDICTIONS sheet of this file. Append the row to the next empty row. 4. Return to ST_Transition_Rate_Engine_v1.xlsx PREDICTION_REGISTER. Enter timestamp in col I. Set col J = SEALED. 5. Only after status = SEALED: deliver CLIENT_OUTPUT to client.</t>
        </is>
      </c>
    </row>
    <row r="4" ht="51.75" customHeight="1" s="59">
      <c r="A4" s="61" t="inlineStr">
        <is>
          <t>Month 6 verification — Prediction 1 (first signal)</t>
        </is>
      </c>
      <c r="B4" s="62" t="inlineStr">
        <is>
          <t>Contact client or review available data: was the predicted signal code observed in the predicted context within the predicted week window? Open VERIFICATION_LOG. Add one row: Deal ID, Ni1 (or relevant function), ECS pair, Month 6, Prediction 1. Enter actual outcome in plain language. Select outcome code from dropdown: CONFIRMED / PARTIAL / FALSIFIED / INSUFFICIENT_DATA.</t>
        </is>
      </c>
    </row>
    <row r="5" ht="51.75" customHeight="1" s="59">
      <c r="A5" s="61" t="inlineStr">
        <is>
          <t>Month 6 verification — Prediction 2 (transition rate)</t>
        </is>
      </c>
      <c r="B5" s="63" t="inlineStr">
        <is>
          <t>Has a category transition been observed? If yes: enter actual months elapsed in Actual TR column. If no and prediction window has not yet been reached: enter PENDING. If no and prediction window has passed: enter FALSIFIED and document actual state.</t>
        </is>
      </c>
    </row>
    <row r="6" ht="51.75" customHeight="1" s="59">
      <c r="A6" s="61" t="inlineStr">
        <is>
          <t>Month 12 verification — Prediction 3 (departure window)</t>
        </is>
      </c>
      <c r="B6" s="62" t="inlineStr">
        <is>
          <t>Have key personnel departures occurred in the predicted window? Count senior departures (VP level and above). Enter outcome in VERIFICATION_LOG. If CONFIRMED or PARTIAL: add a row to CALIBRATION_LOG for Prediction 2.</t>
        </is>
      </c>
    </row>
    <row r="7" ht="51.75" customHeight="1" s="59">
      <c r="A7" s="61" t="inlineStr">
        <is>
          <t>Calibration update (when N=5)</t>
        </is>
      </c>
      <c r="B7" s="63" t="inlineStr">
        <is>
          <t>Filter CALIBRATION_LOG for the relevant Dom.Function + Transition category. Compute average of Actual TR column (excluding PENDING rows). Open ST_Transition_Rate_Engine_v1.xlsx BASE_RATES. Replace the yellow prior value with the computed average. Change cell background to green. Return to CALIBRATION_LOG: update N_confirmed counter in STATUS TABLE. Enter YES in Update_Applied column. Update ACCURACY_DASHBOARD function row with new N counts.</t>
        </is>
      </c>
    </row>
    <row r="8" ht="51.75" customHeight="1" s="59">
      <c r="A8" s="61" t="inlineStr">
        <is>
          <t>Calibration update (when N=10)</t>
        </is>
      </c>
      <c r="B8" s="62" t="inlineStr">
        <is>
          <t>All N=5 actions plus: open ST_Transition_Rate_Engine_v1.xlsx CALC_OUTPUT. For each actor row where Dom.Function matches the calibrated function: change CB Lower coefficient from 0.75 to 0.85 and CB Upper from 1.25 to 1.15 in the formula. Document the update in CALIBRATION_LOG with date and contributing deal IDs.</t>
        </is>
      </c>
    </row>
    <row r="9" ht="51.75" customHeight="1" s="59">
      <c r="A9" s="61" t="inlineStr">
        <is>
          <t>Updating ACCURACY_DASHBOARD</t>
        </is>
      </c>
      <c r="B9" s="63" t="inlineStr">
        <is>
          <t>After every verification round: manually update the per-function accuracy table. Increment N_verified, N_confirmed, N_partial, or N_falsified as appropriate. The CB_accuracy % formula auto-calculates. Update overall stats section with aggregate figures. This sheet is the primary exhibit for institutional client credibility — keep it current.</t>
        </is>
      </c>
    </row>
    <row r="10" ht="51.75" customHeight="1" s="59">
      <c r="A10" s="61" t="inlineStr">
        <is>
          <t>Immutability enforcement</t>
        </is>
      </c>
      <c r="B10" s="62" t="inlineStr">
        <is>
          <t>If an error is found in a sealed prediction row: do not delete or modify the row. Add a correction note in the rightmost column of the SEALED_PREDICTIONS row. Document in VERIFICATION_LOG with outcome = FALSIFIED and note: 'prediction contained error — see note'. The integrity of the ledger requires that all errors are visible and documented, not hidden.</t>
        </is>
      </c>
    </row>
    <row r="11" ht="51.75" customHeight="1" s="59">
      <c r="A11" s="61" t="inlineStr">
        <is>
          <t>DO NOT</t>
        </is>
      </c>
      <c r="B11" s="63" t="inlineStr">
        <is>
          <t>Do not modify SEALED_PREDICTIONS rows after Status = SEALED. Do not paste formulas into SEALED_PREDICTIONS — values only. Do not deliver Step 3 output without first creating a SEALED_PREDICTIONS entry. Do not update BASE_RATES before N=5 threshold is reached. Do not show client-identifying information in ACCURACY_DASHBOARD when sharing externally.</t>
        </is>
      </c>
    </row>
    <row r="12" ht="109.5" customHeight="1" s="59">
      <c r="A12" s="105" t="inlineStr">
        <is>
          <t>Sealing authority</t>
        </is>
      </c>
      <c r="B12" s="106" t="inlineStr">
        <is>
          <t>A sealed prediction may be created only by the engagement's Lead Analyst with co-sign by the Senior Partner per ST_Analyst_Methodology.xlsx §9. No other role may create or modify a SEALED row. Both signatures required in Section 19 of the engagement report before the SEALED_PREDICTIONS row is added.</t>
        </is>
      </c>
    </row>
    <row r="13" ht="109.5" customHeight="1" s="59">
      <c r="A13" s="105" t="inlineStr">
        <is>
          <t>Post-seal information handling</t>
        </is>
      </c>
      <c r="B13" s="106" t="inlineStr">
        <is>
          <t>New information that emerges post-seal does NOT modify the SEALED_PREDICTIONS row. Append to a separate POST_SEAL_INFORMATION_LOG (Phase 4 work item) recording: deal ID, information date, source, content, would-have-changed-prediction assessment, decision (re-issue as new sealed row / annotate / no action). Original sealed prediction stays immutable.</t>
        </is>
      </c>
    </row>
    <row r="14" ht="109.5" customHeight="1" s="59">
      <c r="A14" s="105" t="inlineStr">
        <is>
          <t>Partial confirmation scoring</t>
        </is>
      </c>
      <c r="B14" s="106" t="inlineStr">
        <is>
          <t>PARTIAL outcome code: direction correct, magnitude off (transition occurred outside CB, departure at different rank). PARTIAL counts as 0.5 in calibration math. Implemented in ACCURACY_DASHBOARD "CB accuracy %".</t>
        </is>
      </c>
    </row>
    <row r="15" ht="109.5" customHeight="1" s="59">
      <c r="A15" s="105" t="inlineStr">
        <is>
          <t>Falsification recording</t>
        </is>
      </c>
      <c r="B15" s="106" t="inlineStr">
        <is>
          <t>FALSIFIED outcome: prediction wrong. Falsification documented WITHOUT modifying SEALED_PREDICTIONS row. Verification entry alone records outcome. Methodology review triggered if 3 of 5 verifications for any function-transition pair are FALSIFIED (per CALIBRATION_LOG row 17), but sealed predictions remain immutable.</t>
        </is>
      </c>
    </row>
    <row r="16" ht="109.5" customHeight="1" s="59">
      <c r="A16" s="105" t="inlineStr">
        <is>
          <t>Marketing-quote permissions</t>
        </is>
      </c>
      <c r="B16" s="106" t="inlineStr">
        <is>
          <t>A sealed prediction may be quoted in marketing or institutional materials ONLY after: (a) verification window closed (Month 18); (b) outcome CONFIRMED or PARTIAL (never FALSIFIED); (c) Senior Partner approves quote in writing; (d) deal-pair anonymisation verified by Legal review. ACCURACY_DASHBOARD SEALED PREDICTION SHOWCASE is canonical source for approved quotes.</t>
        </is>
      </c>
    </row>
    <row r="17" ht="109.5" customHeight="1" s="59">
      <c r="A17" s="105" t="inlineStr">
        <is>
          <t>Anonymized case study client approval</t>
        </is>
      </c>
      <c r="B17" s="106" t="inlineStr">
        <is>
          <t>Even after deal-pair anonymisation, anonymized case study requires written client approval from original engagement client. Industry-specific patterns can re-identify well-anonymised cases; methodology reputation depends on never breaching client trust. If client refuses approval, case study filed in non-public archive, cited only by ID.</t>
        </is>
      </c>
    </row>
    <row r="18" ht="109.5" customHeight="1" s="59">
      <c r="A18" s="105" t="inlineStr">
        <is>
          <t>Audit trail recording</t>
        </is>
      </c>
      <c r="B18" s="106" t="inlineStr">
        <is>
          <t>Every action (seal, verify, mark partial, mark falsified, calibration update, quote approval) recorded in PROVENANCE sheet with action timestamp, actor name+role, action type, deal ID, justification.</t>
        </is>
      </c>
    </row>
  </sheetData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D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2" customWidth="1" style="58" min="1" max="2"/>
    <col width="38" customWidth="1" style="58" min="3" max="3"/>
    <col width="60" customWidth="1" style="58" min="4" max="4"/>
  </cols>
  <sheetData>
    <row r="1" ht="31.5" customHeight="1" s="59">
      <c r="A1" s="107" t="inlineStr">
        <is>
          <t>SCHEMA AND METHODOLOGY DEPENDENCIES · v3.1</t>
        </is>
      </c>
    </row>
    <row r="2" ht="57.75" customHeight="1" s="59">
      <c r="A2" s="108" t="inlineStr">
        <is>
          <t>This file declares its dependencies on canonical schema and analyst methodology. Per consistent v3.1 practice, the prediction ledger inherits structure from these governing files rather than defining its own.</t>
        </is>
      </c>
    </row>
    <row r="4" ht="21.75" customHeight="1" s="59">
      <c r="A4" s="109" t="inlineStr">
        <is>
          <t>INHERITED RULES</t>
        </is>
      </c>
    </row>
    <row r="5" ht="15" customHeight="1" s="59">
      <c r="A5" s="66" t="inlineStr">
        <is>
          <t>Source File</t>
        </is>
      </c>
      <c r="B5" s="66" t="inlineStr">
        <is>
          <t>Sheet / Section</t>
        </is>
      </c>
      <c r="C5" s="66" t="inlineStr">
        <is>
          <t>Inherited Rule</t>
        </is>
      </c>
      <c r="D5" s="66" t="inlineStr">
        <is>
          <t>Application in this file</t>
        </is>
      </c>
    </row>
    <row r="6" ht="91.5" customHeight="1" s="59">
      <c r="A6" s="110" t="inlineStr">
        <is>
          <t>ST_Canonical_Schema.xlsx</t>
        </is>
      </c>
      <c r="B6" s="117" t="inlineStr">
        <is>
          <t>sheet 12_RiskOutput_Record</t>
        </is>
      </c>
      <c r="C6" s="117" t="inlineStr">
        <is>
          <t>months_6_18_failureProbability field is the dedicated forward-looking output</t>
        </is>
      </c>
      <c r="D6" s="117" t="inlineStr">
        <is>
          <t>Prediction 2 (transition rate) and Prediction 3 (departure window) operationalise this — the sealed prediction is the months_6_18_failureProbability assignment with locked confidence stamp.</t>
        </is>
      </c>
    </row>
    <row r="7" ht="91.5" customHeight="1" s="59">
      <c r="A7" s="113" t="inlineStr">
        <is>
          <t>ST_Canonical_Schema.xlsx</t>
        </is>
      </c>
      <c r="B7" s="116" t="inlineStr">
        <is>
          <t>sheet 15_ConfidenceGate</t>
        </is>
      </c>
      <c r="C7" s="116" t="inlineStr">
        <is>
          <t>5 gate conditions: direct-observation share, triangulation, documentary corroboration, reliability flag rate, role coverage</t>
        </is>
      </c>
      <c r="D7" s="116" t="inlineStr">
        <is>
          <t>SEALED_PREDICTIONS columns 12 (evidence_quality_at_seal) and 13 (reliability_flag_rate_at_seal) capture two of the five gate conditions at seal time. Column 14 (confidence_gate_verdict_at_seal) records the composite 5/5, 4/5, etc. verdict.</t>
        </is>
      </c>
    </row>
    <row r="8" ht="91.5" customHeight="1" s="59">
      <c r="A8" s="110" t="inlineStr">
        <is>
          <t>ST_Analyst_Methodology.xlsx</t>
        </is>
      </c>
      <c r="B8" s="117" t="inlineStr">
        <is>
          <t>§3 Gate 3 Confidence Gate</t>
        </is>
      </c>
      <c r="C8" s="117" t="inlineStr">
        <is>
          <t>High requires all 5 conditions met; medium requires 3-4</t>
        </is>
      </c>
      <c r="D8" s="117" t="inlineStr">
        <is>
          <t>SEALED_PREDICTIONS column 11 (confidence_at_seal) records the verdict. Premium-tier sealed predictions require 5/5 or 4/5 verdict — captured in column 14.</t>
        </is>
      </c>
    </row>
    <row r="9" ht="91.5" customHeight="1" s="59">
      <c r="A9" s="113" t="inlineStr">
        <is>
          <t>ST_Analyst_Methodology.xlsx</t>
        </is>
      </c>
      <c r="B9" s="116" t="inlineStr">
        <is>
          <t>§9 Senior_Sign_Off</t>
        </is>
      </c>
      <c r="C9" s="116" t="inlineStr">
        <is>
          <t>Sealed predictions require senior partner review of full chain (respondent answers + documentary evidence + contradictions + Analyst Assessments + Risk Outputs + ECS computation)</t>
        </is>
      </c>
      <c r="D9" s="116" t="inlineStr">
        <is>
          <t>AGENT_READ_INSTRUCTIONS row 11 (DO NOT) inherits this rule: "Do not deliver Step 3 output without sealed prediction." v3.1: this file augments with explicit senior partner sign-off requirement before SEALED_PREDICTIONS row is added.</t>
        </is>
      </c>
    </row>
    <row r="10" ht="91.5" customHeight="1" s="59">
      <c r="A10" s="110" t="inlineStr">
        <is>
          <t>ST_Analyst_Methodology.xlsx</t>
        </is>
      </c>
      <c r="B10" s="117" t="inlineStr">
        <is>
          <t>§5 Contradiction_Triage</t>
        </is>
      </c>
      <c r="C10" s="117" t="inlineStr">
        <is>
          <t>Contradiction records are first-class diagnostic objects</t>
        </is>
      </c>
      <c r="D10" s="117" t="inlineStr">
        <is>
          <t>SEALED_PREDICTIONS column 15 (contradiction_count_at_seal) captures count of open Contradiction records at seal time. A sealed prediction issued with high contradiction count is structurally less reliable — captured for future calibration.</t>
        </is>
      </c>
    </row>
    <row r="11" ht="91.5" customHeight="1" s="59">
      <c r="A11" s="113" t="inlineStr">
        <is>
          <t>ST_B_Single_Output_Template_v1.xlsx</t>
        </is>
      </c>
      <c r="B11" s="116" t="inlineStr">
        <is>
          <t>Section 19 Audit &amp; Sealed Prediction Lock</t>
        </is>
      </c>
      <c r="C11" s="116" t="inlineStr">
        <is>
          <t>Final report Section 19 includes sealed prediction lock fields</t>
        </is>
      </c>
      <c r="D11" s="116" t="inlineStr">
        <is>
          <t>When a 19-section report includes a sealed prediction, the prediction is registered in this file (SEALED_PREDICTIONS) with its evidence-confidence stamp. The two files are paired: Section 19 records the prediction in client-facing form; this ledger records it in append-only audit form.</t>
        </is>
      </c>
    </row>
    <row r="12" ht="91.5" customHeight="1" s="59">
      <c r="A12" s="110" t="inlineStr">
        <is>
          <t>ST_Friction_Point_Lookup_updated.xlsx</t>
        </is>
      </c>
      <c r="B12" s="117" t="inlineStr">
        <is>
          <t>Friction_Lookup sheet</t>
        </is>
      </c>
      <c r="C12" s="117" t="inlineStr">
        <is>
          <t>FP1/FP2/FP3 timeline + risk-category tags per pair</t>
        </is>
      </c>
      <c r="D12" s="117" t="inlineStr">
        <is>
          <t>VERIFICATION_LOG checkpoints align with FP1 (Month 6 — Days 30-60 retrospective), FP2 (Month 12), FP3 (Month 18 — departure trigger window).</t>
        </is>
      </c>
    </row>
    <row r="13" ht="91.5" customHeight="1" s="59">
      <c r="A13" s="113" t="inlineStr">
        <is>
          <t>ST_ECS_v2_canonical.xlsx</t>
        </is>
      </c>
      <c r="B13" s="116" t="inlineStr">
        <is>
          <t>ECS Matrix</t>
        </is>
      </c>
      <c r="C13" s="116" t="inlineStr">
        <is>
          <t>ECS scores per directed pair (canonical version)</t>
        </is>
      </c>
      <c r="D13" s="116" t="inlineStr">
        <is>
          <t>SEALED_PREDICTIONS column 2 (ECS Pair) sourced from this matrix. Predicted delta is delta against the locked baseline.</t>
        </is>
      </c>
    </row>
    <row r="14" ht="91.5" customHeight="1" s="59">
      <c r="A14" s="110" t="inlineStr">
        <is>
          <t>ST_Transition_Rate_Engine_v1.xlsx</t>
        </is>
      </c>
      <c r="B14" s="117" t="inlineStr">
        <is>
          <t>PREDICTION_REGISTER</t>
        </is>
      </c>
      <c r="C14" s="117" t="inlineStr">
        <is>
          <t>Predictions copied to this ledger at seal time</t>
        </is>
      </c>
      <c r="D14" s="117" t="inlineStr">
        <is>
          <t>PROVENANCE row 9 inherits this rule unchanged. v3.1 addition: the evidence-confidence stamp must also be copied at seal time, not derived later.</t>
        </is>
      </c>
    </row>
    <row r="15" ht="91.5" customHeight="1" s="59">
      <c r="A15" s="113" t="inlineStr">
        <is>
          <t>ST_Step3_Enhanced_Output_v1.xlsx</t>
        </is>
      </c>
      <c r="B15" s="116" t="inlineStr">
        <is>
          <t>CLIENT_OUTPUT</t>
        </is>
      </c>
      <c r="C15" s="116" t="inlineStr">
        <is>
          <t>Step 15.5 sealing trigger</t>
        </is>
      </c>
      <c r="D15" s="116" t="inlineStr">
        <is>
          <t>AGENT_READ_INSTRUCTIONS row 2 inherits this rule. v3.1: Step 15.5 also captures evidence-confidence stamp before sealing.</t>
        </is>
      </c>
    </row>
  </sheetData>
  <mergeCells count="3">
    <mergeCell ref="A1:D1"/>
    <mergeCell ref="A4:D4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0" customWidth="1" style="58" min="1" max="1"/>
    <col width="28" customWidth="1" style="58" min="2" max="2"/>
    <col width="38" customWidth="1" style="58" min="3" max="3"/>
    <col width="80" customWidth="1" style="58" min="4" max="4"/>
  </cols>
  <sheetData>
    <row r="1" ht="31.5" customHeight="1" s="59">
      <c r="A1" s="107" t="inlineStr">
        <is>
          <t>v3.1 BUILD NOTES · Source v1.0 → v3.1 changes</t>
        </is>
      </c>
    </row>
    <row r="2" ht="109.5" customHeight="1" s="59">
      <c r="A2" s="108" t="inlineStr">
        <is>
          <t>This file is the v3.1 additive rebuild of ST_Prediction_Ledger_v1.xlsx. Additive (not wholesale) because the source v1.0 architecture is excellent: 6 sheets, 54 dashboard formulas, clear immutability protocol, agent read instructions. v3.1 work extends the schema per Phase 3 brief: "each prediction carries the evidence-confidence stamp at issue time".</t>
        </is>
      </c>
    </row>
    <row r="4" ht="15" customHeight="1" s="59">
      <c r="A4" s="66" t="inlineStr">
        <is>
          <t>Item</t>
        </is>
      </c>
      <c r="B4" s="66" t="inlineStr">
        <is>
          <t>Action</t>
        </is>
      </c>
      <c r="C4" s="66" t="inlineStr">
        <is>
          <t>Scope</t>
        </is>
      </c>
      <c r="D4" s="66" t="inlineStr">
        <is>
          <t>Notes</t>
        </is>
      </c>
    </row>
    <row r="5" ht="78" customHeight="1" s="59">
      <c r="A5" s="105" t="inlineStr">
        <is>
          <t>1. Evidence-confidence stamp added to SEALED_PREDICTIONS (brief headline)</t>
        </is>
      </c>
      <c r="B5" s="106" t="inlineStr">
        <is>
          <t>EXTENDED in v3.1</t>
        </is>
      </c>
      <c r="C5" s="106" t="inlineStr">
        <is>
          <t>SEALED_PREDICTIONS sheet, columns 11-15</t>
        </is>
      </c>
      <c r="D5" s="106" t="inlineStr">
        <is>
          <t>Per Phase 3 brief: "extend schema so each prediction carries the evidence-confidence stamp at issue time". 5 new columns: confidence_at_seal (high/medium/low/cannot_determine per Confidence Gate); evidence_quality_at_seal (% direct-observation share); reliability_flag_rate_at_seal (% of answers with flag); confidence_gate_verdict_at_seal (5/5, 4/5, 3/5, 2/5, 1/5, 0/5); contradiction_count_at_seal (open Contradiction records). These fields are append-only — copied at seal time, never modified.</t>
        </is>
      </c>
    </row>
    <row r="6" ht="78" customHeight="1" s="59">
      <c r="A6" s="105" t="inlineStr">
        <is>
          <t>2. Confidence-stamp recall added to VERIFICATION_LOG</t>
        </is>
      </c>
      <c r="B6" s="106" t="inlineStr">
        <is>
          <t>EXTENDED in v3.1</t>
        </is>
      </c>
      <c r="C6" s="106" t="inlineStr">
        <is>
          <t>VERIFICATION_LOG sheet, column 14</t>
        </is>
      </c>
      <c r="D6" s="106" t="inlineStr">
        <is>
          <t>New column 14: confidence_at_seal recalled from SEALED_PREDICTIONS col 11. Enables the calibration analysis "do high-confidence predictions verify better than low-confidence predictions?" If they do not — Confidence Gate criteria need recalibration. This is the methodology's self-correction mechanism.</t>
        </is>
      </c>
    </row>
    <row r="7" ht="78" customHeight="1" s="59">
      <c r="A7" s="105" t="inlineStr">
        <is>
          <t>4. Schema and methodology dependencies declared</t>
        </is>
      </c>
      <c r="B7" s="106" t="inlineStr">
        <is>
          <t>NEW SHEET in v3.1</t>
        </is>
      </c>
      <c r="C7" s="106" t="inlineStr">
        <is>
          <t>Schema_Methodology_Dependencies sheet</t>
        </is>
      </c>
      <c r="D7" s="106" t="inlineStr">
        <is>
          <t>Source v1.0 had 0 references to ST_Canonical_Schema or ST_Analyst_Methodology. v3.1 declares inheritance from 8 corpus files (Canonical Schema, Analyst Methodology, B_Single Output Template, Friction Point Lookup, ECS v2 canonical, Transition Rate Engine, Step3 Enhanced Output) with 10 specific rules cited.</t>
        </is>
      </c>
    </row>
    <row r="8" ht="78" customHeight="1" s="59">
      <c r="A8" s="110" t="inlineStr">
        <is>
          <t>5. PROVENANCE preserved</t>
        </is>
      </c>
      <c r="B8" s="117" t="inlineStr">
        <is>
          <t>PRESERVED</t>
        </is>
      </c>
      <c r="C8" s="117" t="inlineStr">
        <is>
          <t>PROVENANCE sheet</t>
        </is>
      </c>
      <c r="D8" s="117" t="inlineStr">
        <is>
          <t>Source provenance metadata correct and well-documented. No modification. v3.1 internal version label noted in build notes.</t>
        </is>
      </c>
    </row>
    <row r="9" ht="78" customHeight="1" s="59">
      <c r="A9" s="113" t="inlineStr">
        <is>
          <t>6. CALIBRATION_LOG preserved</t>
        </is>
      </c>
      <c r="B9" s="116" t="inlineStr">
        <is>
          <t>PRESERVED</t>
        </is>
      </c>
      <c r="C9" s="116" t="inlineStr">
        <is>
          <t>CALIBRATION_LOG sheet</t>
        </is>
      </c>
      <c r="D9" s="116" t="inlineStr">
        <is>
          <t>Calibration architecture (running averages per dominant function, N=5 update trigger, N=10 deepening trigger) is well-built. No modification. v3.1 NOTE: when calibration analysis is run, the new confidence_at_seal data permits stratified calibration (calibrate Confidence Gate criteria separately from transition-rate accuracy).</t>
        </is>
      </c>
    </row>
    <row r="10" ht="78" customHeight="1" s="59">
      <c r="A10" s="110" t="inlineStr">
        <is>
          <t>7. ACCURACY_DASHBOARD preserved (54 formulas intact)</t>
        </is>
      </c>
      <c r="B10" s="117" t="inlineStr">
        <is>
          <t>PRESERVED</t>
        </is>
      </c>
      <c r="C10" s="117" t="inlineStr">
        <is>
          <t>ACCURACY_DASHBOARD sheet</t>
        </is>
      </c>
      <c r="D10" s="117" t="inlineStr">
        <is>
          <t>Source dashboard with 54 COUNTIF / COUNTIFS / IF formulas preserved verbatim. No modification — the formulas auto-aggregate from VERIFICATION_LOG. v3.1 future extension: stratified accuracy by confidence_at_seal (additional formulas computing accuracy per confidence-tier).</t>
        </is>
      </c>
    </row>
    <row r="11" ht="78" customHeight="1" s="59">
      <c r="A11" s="113" t="inlineStr">
        <is>
          <t>8. AGENT_READ_INSTRUCTIONS preserved</t>
        </is>
      </c>
      <c r="B11" s="116" t="inlineStr">
        <is>
          <t>PRESERVED</t>
        </is>
      </c>
      <c r="C11" s="116" t="inlineStr">
        <is>
          <t>AGENT_READ_INSTRUCTIONS sheet</t>
        </is>
      </c>
      <c r="D11" s="116" t="inlineStr">
        <is>
          <t>Source instructions correct. No modification. v3.1 NOTE: agent read instructions should be amended in future Phase 4+ work to add explicit step "capture evidence-confidence stamp before sealing" — but this is documentation expansion, not architectural change. Deferred to keep this rebuild additive.</t>
        </is>
      </c>
    </row>
    <row r="12" ht="78" customHeight="1" s="59">
      <c r="A12" s="110" t="inlineStr">
        <is>
          <t>9. SEALED_PREDICTIONS title updated for v3.1</t>
        </is>
      </c>
      <c r="B12" s="117" t="inlineStr">
        <is>
          <t>UPDATED in v3.1</t>
        </is>
      </c>
      <c r="C12" s="117" t="inlineStr">
        <is>
          <t>SEALED_PREDICTIONS row 1</t>
        </is>
      </c>
      <c r="D12" s="117" t="inlineStr">
        <is>
          <t>Source title preserved with v3.1 extension note appended. Immutability rule (row 2) extended with explicit instruction to capture evidence-confidence stamp at seal time.</t>
        </is>
      </c>
    </row>
    <row r="13" ht="78" customHeight="1" s="59">
      <c r="A13" s="113" t="inlineStr">
        <is>
          <t>10. VERIFICATION_LOG title updated for v3.1</t>
        </is>
      </c>
      <c r="B13" s="116" t="inlineStr">
        <is>
          <t>UPDATED in v3.1</t>
        </is>
      </c>
      <c r="C13" s="116" t="inlineStr">
        <is>
          <t>VERIFICATION_LOG row 1</t>
        </is>
      </c>
      <c r="D13" s="116" t="inlineStr">
        <is>
          <t>Source title preserved with v3.1 column 14 note appended. Instructions (row 2) extended with calibration-analysis purpose statement.</t>
        </is>
      </c>
    </row>
    <row r="14" ht="78" customHeight="1" s="59">
      <c r="A14" s="110" t="inlineStr">
        <is>
          <t>11. NO premature environment-label terminology</t>
        </is>
      </c>
      <c r="B14" s="117" t="inlineStr">
        <is>
          <t>CLEAN</t>
        </is>
      </c>
      <c r="C14" s="117" t="inlineStr">
        <is>
          <t>Throughout</t>
        </is>
      </c>
      <c r="D14" s="117" t="inlineStr">
        <is>
          <t>Source v1.0 had 0 occurrences of "LOCK the environment", "Primary observed environment", or related forbidden phrases. Already aligned with v3.1 architecture.</t>
        </is>
      </c>
    </row>
    <row r="15" ht="78" customHeight="1" s="59">
      <c r="A15" s="113" t="inlineStr">
        <is>
          <t>12. NO SFP/SFJ underscore form</t>
        </is>
      </c>
      <c r="B15" s="116" t="inlineStr">
        <is>
          <t>CLEAN</t>
        </is>
      </c>
      <c r="C15" s="116" t="inlineStr">
        <is>
          <t>Throughout</t>
        </is>
      </c>
      <c r="D15" s="116" t="inlineStr">
        <is>
          <t>Source v1.0 had 0 SFP_SFJ underscore. SFP/SFJ slash form not present in source either (no SFP/SFJ pairs in example rows). No correction needed.</t>
        </is>
      </c>
    </row>
    <row r="16" ht="78" customHeight="1" s="59">
      <c r="A16" s="110" t="inlineStr">
        <is>
          <t>13. Existing 54 dashboard formulas preserved</t>
        </is>
      </c>
      <c r="B16" s="117" t="inlineStr">
        <is>
          <t>PRESERVED</t>
        </is>
      </c>
      <c r="C16" s="117" t="inlineStr">
        <is>
          <t>ACCURACY_DASHBOARD sheet</t>
        </is>
      </c>
      <c r="D16" s="117" t="inlineStr">
        <is>
          <t>COUNTIF / COUNTIFS / IF formulas computing accuracy by prediction type and dominant function. Preserved verbatim. No formulas added in v3.1 (future extension noted in item 7).</t>
        </is>
      </c>
    </row>
    <row r="17" ht="78" customHeight="1" s="59">
      <c r="A17" s="113" t="inlineStr">
        <is>
          <t>14. Filename preservation</t>
        </is>
      </c>
      <c r="B17" s="116" t="inlineStr">
        <is>
          <t>PRESERVED</t>
        </is>
      </c>
      <c r="C17" s="116" t="inlineStr">
        <is>
          <t>Cross-corpus rule</t>
        </is>
      </c>
      <c r="D17" s="116" t="inlineStr">
        <is>
          <t>Saved as exact source filename ST_Prediction_Ledger_v1.xlsx. No version markers.</t>
        </is>
      </c>
    </row>
    <row r="18" ht="78" customHeight="1" s="59">
      <c r="A18" s="105" t="inlineStr">
        <is>
          <t>PATCH-2026-05-06</t>
        </is>
      </c>
      <c r="B18" s="106" t="inlineStr">
        <is>
          <t>EXTENDED</t>
        </is>
      </c>
      <c r="C18" s="106" t="inlineStr">
        <is>
          <t>AGENT_READ_INSTRUCTIONS — 7 new operational rules</t>
        </is>
      </c>
      <c r="D18" s="106" t="inlineStr">
        <is>
          <t>Per agent review claim 11: explicit rules for sealing authority, post-seal information, partial confirmation scoring, falsification recording, marketing-quote permissions, anonymized case study client approval, audit trail recording.</t>
        </is>
      </c>
    </row>
    <row r="19" ht="109.5" customHeight="1" s="59"/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2026-04-20T23:22:44Z</dcterms:created>
  <dcterms:modified xsi:type="dcterms:W3CDTF">2026-06-14T18:16:24Z</dcterms:modified>
  <cp:revision>0</cp:revision>
</cp:coreProperties>
</file>