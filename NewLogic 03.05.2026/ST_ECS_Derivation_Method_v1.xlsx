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534d10f02540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hod" sheetId="1" r:id="R4069b4a8c09544ca"/>
    <x:sheet xmlns:r="http://schemas.openxmlformats.org/officeDocument/2006/relationships" name="Net_Effect_Vectors" sheetId="2" r:id="R326d25ba0bc54c06"/>
    <x:sheet xmlns:r="http://schemas.openxmlformats.org/officeDocument/2006/relationships" name="Pair_Computation" sheetId="3" r:id="Rd30a01cebbab4ced"/>
    <x:sheet xmlns:r="http://schemas.openxmlformats.org/officeDocument/2006/relationships" name="Reproduction_Test" sheetId="4" r:id="R9b87974e06f34766"/>
    <x:sheet xmlns:r="http://schemas.openxmlformats.org/officeDocument/2006/relationships" name="Interpretation_Caveats" sheetId="5" r:id="R51ab889350574c0b"/>
  </x:sheets>
</x:workbook>
</file>

<file path=xl/sharedStrings.xml><?xml version="1.0" encoding="utf-8"?>
<x:sst xmlns:x="http://schemas.openxmlformats.org/spreadsheetml/2006/main">
  <x:si>
    <x:t xml:space="preserve">ECS DERIVATION METHOD — CANONICAL  ·  ST_ECS_Derivation_Method_v1</x:t>
  </x:si>
  <x:si>
    <x:t xml:space="preserve">Status</x:t>
  </x:si>
  <x:si>
    <x:t xml:space="preserve">FORMULA</x:t>
  </x:si>
  <x:si>
    <x:t xml:space="preserve">ECS = 100 × (1 − C / 34)</x:t>
  </x:si>
  <x:si>
    <x:t xml:space="preserve">C (Conflict Score)</x:t>
  </x:si>
  <x:si>
    <x:t xml:space="preserve">Sum over 17 resources of pairwise conflict points between the two environments’ Net Effect values.</x:t>
  </x:si>
  <x:si>
    <x:t xml:space="preserve">Conflict points per resource</x:t>
  </x:si>
  <x:si>
    <x:t xml:space="preserve">2 = direct opposition (+ vs −)  ·  1 = partial (+ vs ~  or  − vs ~)  ·  0 = identical Net Effect (including ~/~, +/+, −/−)</x:t>
  </x:si>
  <x:si>
    <x:t xml:space="preserve">Denominator 34</x:t>
  </x:si>
  <x:si>
    <x:t xml:space="preserve">Maximum possible conflict: 17 resources × 2 points.</x:t>
  </x:si>
  <x:si>
    <x:t xml:space="preserve">Rounding</x:t>
  </x:si>
  <x:si>
    <x:t xml:space="preserve">One decimal place. All canonical matrix values are exact multiples of 100/34 ≈ 2.941.</x:t>
  </x:si>
  <x:si>
    <x:t xml:space="preserve">Symmetry</x:t>
  </x:si>
  <x:si>
    <x:t xml:space="preserve">The formula is symmetric: ECS(A,B) = ECS(B,A). Directionality (acquirer vs target) is carried exclusively by the friction-point narratives, never by the score.</x:t>
  </x:si>
  <x:si>
    <x:t xml:space="preserve">DATA SOURCE</x:t>
  </x:si>
  <x:si>
    <x:t xml:space="preserve">Net Effect column, sheet "Resource Impact Matrix", in each of the 9 Environment Reference files (NF_NT, NF_SFJ, NF_SFP, NT_STJ, NT_STP, SFJ_SFP, SFP_SFJ, STJ_STP, STP_STJ _Environment_Reference.xlsx). Mirrored on sheet Net_Effect_Vectors of this file; the Reference files remain the single source of truth.</x:t>
  </x:si>
  <x:si>
    <x:t xml:space="preserve">REPRODUCTION PROOF</x:t>
  </x:si>
  <x:si>
    <x:t xml:space="preserve">Sheet Reproduction_Test: all 28 published pair scores in ST_Friction_Point_Lookup_updated.xlsx → ECS_Matrix reproduced with 0.0 deviation. Verified June 2026.</x:t>
  </x:si>
  <x:si>
    <x:t xml:space="preserve">AUDIT ENTRY POINT</x:t>
  </x:si>
  <x:si>
    <x:t xml:space="preserve">An independent analyst verifies three things: (1) Net Effect vectors match the Reference files; (2) per-resource conflict formulas on Pair_Computation; (3) Reproduction_Test = 28/28 PASS.</x:t>
  </x:si>
  <x:si>
    <x:t xml:space="preserve">SUPERSESSION NOTE</x:t>
  </x:si>
  <x:si>
    <x:t xml:space="preserve">This file supersedes the narrative-only description on sheet Derivation_Method of ST_Friction_Point_Lookup_updated.xlsx for the ECS-score layer. Friction-point narrative derivation remains documented there.</x:t>
  </x:si>
  <x:si>
    <x:t xml:space="preserve">SCORE INTERPRETATION RULE</x:t>
  </x:si>
  <x:si>
    <x:t xml:space="preserve">Canonical home: sheet Interpretation_Caveats of this file (author decision, June 2026). No standalone Score Interpretation Rule file exists in canon.</x:t>
  </x:si>
  <x:si>
    <x:t xml:space="preserve">Environment</x:t>
  </x:si>
  <x:si>
    <x:t xml:space="preserve">Time</x:t>
  </x:si>
  <x:si>
    <x:t xml:space="preserve">Energy</x:t>
  </x:si>
  <x:si>
    <x:t xml:space="preserve">Attention</x:t>
  </x:si>
  <x:si>
    <x:t xml:space="preserve">Money</x:t>
  </x:si>
  <x:si>
    <x:t xml:space="preserve">Reputation</x:t>
  </x:si>
  <x:si>
    <x:t xml:space="preserve">Trust</x:t>
  </x:si>
  <x:si>
    <x:t xml:space="preserve">Influence</x:t>
  </x:si>
  <x:si>
    <x:t xml:space="preserve">Information</x:t>
  </x:si>
  <x:si>
    <x:t xml:space="preserve">Connections</x:t>
  </x:si>
  <x:si>
    <x:t xml:space="preserve">Skills</x:t>
  </x:si>
  <x:si>
    <x:t xml:space="preserve">Knowledge</x:t>
  </x:si>
  <x:si>
    <x:t xml:space="preserve">Health</x:t>
  </x:si>
  <x:si>
    <x:t xml:space="preserve">Psychological resilience</x:t>
  </x:si>
  <x:si>
    <x:t xml:space="preserve">Will / discipline</x:t>
  </x:si>
  <x:si>
    <x:t xml:space="preserve">Creativity</x:t>
  </x:si>
  <x:si>
    <x:t xml:space="preserve">Decisiveness</x:t>
  </x:si>
  <x:si>
    <x:t xml:space="preserve">Organisation / system</x:t>
  </x:si>
  <x:si>
    <x:t xml:space="preserve">NF/NT</x:t>
  </x:si>
  <x:si>
    <x:t xml:space="preserve">+</x:t>
  </x:si>
  <x:si>
    <x:t xml:space="preserve">~</x:t>
  </x:si>
  <x:si>
    <x:t xml:space="preserve">NF/SFJ</x:t>
  </x:si>
  <x:si>
    <x:t xml:space="preserve">-</x:t>
  </x:si>
  <x:si>
    <x:t xml:space="preserve">NF/SFP</x:t>
  </x:si>
  <x:si>
    <x:t xml:space="preserve">NT/STJ</x:t>
  </x:si>
  <x:si>
    <x:t xml:space="preserve">NT/STP</x:t>
  </x:si>
  <x:si>
    <x:t xml:space="preserve">SFJ/SFP</x:t>
  </x:si>
  <x:si>
    <x:t xml:space="preserve">SFP/SFJ</x:t>
  </x:si>
  <x:si>
    <x:t xml:space="preserve">STJ/STP</x:t>
  </x:si>
  <x:si>
    <x:t xml:space="preserve">STP/STJ</x:t>
  </x:si>
  <x:si>
    <x:t xml:space="preserve">Source: "Resource Impact Matrix" sheet, Net Effect column, of each *_Environment_Reference.xlsx. Verbatim mirror, June 2026.</x:t>
  </x:si>
  <x:si>
    <x:t xml:space="preserve">Env A</x:t>
  </x:si>
  <x:si>
    <x:t xml:space="preserve">Env B</x:t>
  </x:si>
  <x:si>
    <x:t xml:space="preserve">C (conflict)</x:t>
  </x:si>
  <x:si>
    <x:t xml:space="preserve">ECS</x:t>
  </x:si>
  <x:si>
    <x:t xml:space="preserve">Band</x:t>
  </x:si>
  <x:si>
    <x:t xml:space="preserve">CANON (reproduced)</x:t>
  </x:si>
  <x:si>
    <x:t xml:space="preserve">CANON (author-canonized June 2026)</x:t>
  </x:si>
  <x:si>
    <x:t xml:space="preserve">Same-environment pairs (diagonal) = 100 by definition (●), not computed. STP/STJ values author-canonized June 2026 and published in ST_Friction_Point_Lookup_updated.xlsx → ECS_Matrix (9×9).</x:t>
  </x:si>
  <x:si>
    <x:t xml:space="preserve">Published ECS (source: ST_Friction_Point_Lookup_updated.xlsx → ECS_Matrix)</x:t>
  </x:si>
  <x:si>
    <x:t xml:space="preserve">Computed ECS (link)</x:t>
  </x:si>
  <x:si>
    <x:t xml:space="preserve">Diff</x:t>
  </x:si>
  <x:si>
    <x:t xml:space="preserve">Result</x:t>
  </x:si>
  <x:si>
    <x:t xml:space="preserve">PASS count:</x:t>
  </x:si>
  <x:si>
    <x:t xml:space="preserve">SCORE INTERPRETATION RULE — CANONICAL HOME (author decision, June 2026)</x:t>
  </x:si>
  <x:si>
    <x:t xml:space="preserve">This sheet is the canonical location of the ST Score Interpretation Rule. Resolves the deferred canonization question (standalone file vs fold-in) in favour of fold-in: ST_Score_Interpretation_Rule.xlsx will not be created as a separate corpus file. Any draft carrying that name is superseded by this sheet.</x:t>
  </x:si>
  <x:si>
    <x:t xml:space="preserve">1. Concealed conflict (existing canon)</x:t>
  </x:si>
  <x:si>
    <x:t xml:space="preserve">High ECS in cross-environment NT-adjacent pairs (NT/STJ × NT/STP = 91.2) is a diagnostic trigger, not reassurance: shared surface vocabulary, divergent decision mechanisms. Canonical Score Interpretation Rule.</x:t>
  </x:si>
  <x:si>
    <x:t xml:space="preserve">2. Aligned suppression (new — this audit)</x:t>
  </x:si>
  <x:si>
    <x:t xml:space="preserve">NF/SFJ × SFP/SFJ = 88.2 (HIGH COMPATIBILITY) although each profile suppresses 15 of 17 resources. The formula scores agreement of Net Effects, not their sign: two environments that suppress the same resources identically register zero conflict. High ECS here means "compatible in degradation", not "healthy". Any buyer-facing output for pairs where both Net Effect vectors are predominantly negative MUST carry this caveat.</x:t>
  </x:si>
  <x:si>
    <x:t xml:space="preserve">3. Symmetry</x:t>
  </x:si>
  <x:si>
    <x:t xml:space="preserve">ECS(A,B) = ECS(B,A) by construction. Acquirer/target asymmetry exists only in friction narratives. Do not present the score as direction-sensitive.</x:t>
  </x:si>
  <x:si>
    <x:t xml:space="preserve">4. What the formula does NOT capture</x:t>
  </x:si>
  <x:si>
    <x:t xml:space="preserve">Resource health level (+/+ alignment and −/− alignment both score 0 conflict); magnitude (F/A 1–9 values are not used in pair ECS — only the qualitative Net Effect sign); intra-environment dynamics.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</x:si>
</x:sst>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1"/>
      <x:name val="Arial"/>
    </x:font>
    <x:font>
      <x:sz val="11"/>
      <x:name val="Arial"/>
    </x:font>
    <x:font>
      <x:sz val="11"/>
      <x:color rgb="FF0000FF"/>
      <x:name val="Arial"/>
    </x:font>
    <x:font>
      <x:sz val="11"/>
      <x:color rgb="FF008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0" borderId="0" xfId="0" applyAlignment="1"/>
    <x:xf numFmtId="0" fontId="1" fillId="2" borderId="0" xfId="0" applyFont="1" applyFill="1" applyAlignment="1"/>
    <x:xf numFmtId="0" fontId="2" fillId="0" borderId="0" xfId="0" applyFont="1" applyAlignment="1">
      <x:alignment vertical="top" wrapText="1"/>
    </x:xf>
    <x:xf numFmtId="0" fontId="1" fillId="0" borderId="0" xfId="0" applyFont="1" applyAlignment="1"/>
    <x:xf numFmtId="0" fontId="1" fillId="0" borderId="0" xfId="0" applyFont="1"/>
    <x:xf numFmtId="0" fontId="1" fillId="2" borderId="0" xfId="0" applyFont="1" applyFill="1" applyAlignment="1">
      <x:alignment wrapText="1"/>
    </x:xf>
    <x:xf numFmtId="0" fontId="2" fillId="0" borderId="0" xfId="0" applyFont="1" applyAlignment="1"/>
    <x:xf numFmtId="0" fontId="1" fillId="2" borderId="0" xfId="0" applyFont="1" applyFill="1" applyAlignment="1">
      <x:alignment horizontal="right" wrapText="1"/>
    </x:xf>
    <x:xf numFmtId="0" fontId="3" fillId="0" borderId="0" xfId="0" applyFont="1" applyAlignment="1"/>
    <x:xf numFmtId="0" fontId="4" fillId="0" borderId="0" xfId="0" applyFont="1" applyAlignment="1"/>
    <x:xf numFmtId="0" fontId="1" fillId="2" borderId="0" xfId="0" applyFont="1" applyFill="1" applyAlignment="1">
      <x:alignment horizontal="center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ca992e59f94e02" /><Relationship Type="http://schemas.openxmlformats.org/officeDocument/2006/relationships/theme" Target="/xl/theme/theme1.xml" Id="Rc64d6a9b0a5b44a9" /><Relationship Type="http://schemas.openxmlformats.org/officeDocument/2006/relationships/sharedStrings" Target="/xl/sharedStrings.xml" Id="R246ba767fbac4edf" /><Relationship Type="http://schemas.openxmlformats.org/officeDocument/2006/relationships/worksheet" Target="/xl/worksheets/sheet1.xml" Id="R4069b4a8c09544ca" /><Relationship Type="http://schemas.openxmlformats.org/officeDocument/2006/relationships/worksheet" Target="/xl/worksheets/sheet2.xml" Id="R326d25ba0bc54c06" /><Relationship Type="http://schemas.openxmlformats.org/officeDocument/2006/relationships/worksheet" Target="/xl/worksheets/sheet3.xml" Id="Rd30a01cebbab4ced" /><Relationship Type="http://schemas.openxmlformats.org/officeDocument/2006/relationships/worksheet" Target="/xl/worksheets/sheet4.xml" Id="R9b87974e06f34766" /><Relationship Type="http://schemas.openxmlformats.org/officeDocument/2006/relationships/worksheet" Target="/xl/worksheets/sheet5.xml" Id="R51ab889350574c0b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7109375" defaultRowHeight="15"/>
  <x:cols>
    <x:col min="1" max="1" width="82.85546875" style="1" customWidth="1"/>
    <x:col min="2" max="2" width="110" style="1" customWidth="1"/>
  </x:cols>
  <x:sheetData>
    <x:row r="1" ht="15" customHeight="1">
      <x:c r="A1" s="11" t="s">
        <x:v>0</x:v>
      </x:c>
      <x:c r="B1" s="11"/>
    </x:row>
    <x:row r="2" ht="26.25" customHeight="1">
      <x:c r="A2" s="4" t="s">
        <x:v>1</x:v>
      </x:c>
      <x:c r="B2" s="3" t="str">
        <x:v>CANONICAL — author sign-off June 2026. The derivation chain is carried by ST_ECS_v1_canonical.xlsx.</x:v>
      </x:c>
    </x:row>
    <x:row r="3" ht="15" customHeight="1">
      <x:c r="A3" s="4"/>
      <x:c r="B3" s="3"/>
    </x:row>
    <x:row r="4" ht="15" customHeight="1">
      <x:c r="A4" s="4" t="s">
        <x:v>2</x:v>
      </x:c>
      <x:c r="B4" s="3" t="s">
        <x:v>3</x:v>
      </x:c>
    </x:row>
    <x:row r="5" ht="15" customHeight="1">
      <x:c r="A5" s="4" t="s">
        <x:v>4</x:v>
      </x:c>
      <x:c r="B5" s="3" t="s">
        <x:v>5</x:v>
      </x:c>
    </x:row>
    <x:row r="6" ht="15" customHeight="1">
      <x:c r="A6" s="4" t="s">
        <x:v>6</x:v>
      </x:c>
      <x:c r="B6" s="3" t="s">
        <x:v>7</x:v>
      </x:c>
    </x:row>
    <x:row r="7" ht="15" customHeight="1">
      <x:c r="A7" s="4" t="s">
        <x:v>8</x:v>
      </x:c>
      <x:c r="B7" s="3" t="s">
        <x:v>9</x:v>
      </x:c>
    </x:row>
    <x:row r="8" ht="15" customHeight="1">
      <x:c r="A8" s="4" t="s">
        <x:v>10</x:v>
      </x:c>
      <x:c r="B8" s="3" t="s">
        <x:v>11</x:v>
      </x:c>
    </x:row>
    <x:row r="9" ht="26.25" customHeight="1">
      <x:c r="A9" s="4" t="s">
        <x:v>12</x:v>
      </x:c>
      <x:c r="B9" s="3" t="s">
        <x:v>13</x:v>
      </x:c>
    </x:row>
    <x:row r="10" ht="15" customHeight="1">
      <x:c r="A10" s="4"/>
      <x:c r="B10" s="3"/>
    </x:row>
    <x:row r="11" ht="39" customHeight="1">
      <x:c r="A11" s="4" t="s">
        <x:v>14</x:v>
      </x:c>
      <x:c r="B11" s="3" t="s">
        <x:v>15</x:v>
      </x:c>
    </x:row>
    <x:row r="12" ht="26.25" customHeight="1">
      <x:c r="A12" s="4" t="s">
        <x:v>16</x:v>
      </x:c>
      <x:c r="B12" s="3" t="s">
        <x:v>17</x:v>
      </x:c>
    </x:row>
    <x:row r="13" ht="26.25" customHeight="1">
      <x:c r="A13" s="4" t="s">
        <x:v>18</x:v>
      </x:c>
      <x:c r="B13" s="3" t="s">
        <x:v>19</x:v>
      </x:c>
    </x:row>
    <x:row r="14" ht="15" customHeight="1">
      <x:c r="A14" s="4"/>
      <x:c r="B14" s="3"/>
    </x:row>
    <x:row r="15" ht="39" customHeight="1">
      <x:c r="A15" s="4" t="s">
        <x:v>20</x:v>
      </x:c>
      <x:c r="B15" s="3" t="s">
        <x:v>21</x:v>
      </x:c>
    </x:row>
    <x:row r="17" ht="28.5">
      <x:c r="A17" s="5" t="s">
        <x:v>22</x:v>
      </x:c>
      <x:c r="B17" s="3" t="s">
        <x:v>23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7109375" defaultRowHeight="15"/>
  <x:cols>
    <x:col min="1" max="1" width="14" style="1" customWidth="1"/>
  </x:cols>
  <x:sheetData>
    <x:row r="1" ht="51.75" customHeight="1">
      <x:c r="A1" s="4" t="s">
        <x:v>24</x:v>
      </x:c>
      <x:c r="B1" s="6" t="s">
        <x:v>25</x:v>
      </x:c>
      <x:c r="C1" s="6" t="s">
        <x:v>26</x:v>
      </x:c>
      <x:c r="D1" s="6" t="s">
        <x:v>27</x:v>
      </x:c>
      <x:c r="E1" s="6" t="s">
        <x:v>28</x:v>
      </x:c>
      <x:c r="F1" s="6" t="s">
        <x:v>29</x:v>
      </x:c>
      <x:c r="G1" s="6" t="s">
        <x:v>30</x:v>
      </x:c>
      <x:c r="H1" s="6" t="s">
        <x:v>31</x:v>
      </x:c>
      <x:c r="I1" s="6" t="s">
        <x:v>32</x:v>
      </x:c>
      <x:c r="J1" s="6" t="s">
        <x:v>33</x:v>
      </x:c>
      <x:c r="K1" s="6" t="s">
        <x:v>34</x:v>
      </x:c>
      <x:c r="L1" s="6" t="s">
        <x:v>35</x:v>
      </x:c>
      <x:c r="M1" s="6" t="s">
        <x:v>36</x:v>
      </x:c>
      <x:c r="N1" s="6" t="s">
        <x:v>37</x:v>
      </x:c>
      <x:c r="O1" s="6" t="s">
        <x:v>38</x:v>
      </x:c>
      <x:c r="P1" s="6" t="s">
        <x:v>39</x:v>
      </x:c>
      <x:c r="Q1" s="6" t="s">
        <x:v>40</x:v>
      </x:c>
      <x:c r="R1" s="6" t="s">
        <x:v>41</x:v>
      </x:c>
    </x:row>
    <x:row r="2" ht="15" customHeight="1">
      <x:c r="A2" s="4" t="s">
        <x:v>42</x:v>
      </x:c>
      <x:c r="B2" s="7" t="s">
        <x:v>43</x:v>
      </x:c>
      <x:c r="C2" s="7" t="s">
        <x:v>43</x:v>
      </x:c>
      <x:c r="D2" s="7" t="s">
        <x:v>43</x:v>
      </x:c>
      <x:c r="E2" s="7" t="s">
        <x:v>44</x:v>
      </x:c>
      <x:c r="F2" s="7" t="s">
        <x:v>43</x:v>
      </x:c>
      <x:c r="G2" s="7" t="s">
        <x:v>43</x:v>
      </x:c>
      <x:c r="H2" s="7" t="s">
        <x:v>43</x:v>
      </x:c>
      <x:c r="I2" s="7" t="s">
        <x:v>43</x:v>
      </x:c>
      <x:c r="J2" s="7" t="s">
        <x:v>43</x:v>
      </x:c>
      <x:c r="K2" s="7" t="s">
        <x:v>43</x:v>
      </x:c>
      <x:c r="L2" s="7" t="s">
        <x:v>43</x:v>
      </x:c>
      <x:c r="M2" s="7" t="s">
        <x:v>44</x:v>
      </x:c>
      <x:c r="N2" s="7" t="s">
        <x:v>43</x:v>
      </x:c>
      <x:c r="O2" s="7" t="s">
        <x:v>43</x:v>
      </x:c>
      <x:c r="P2" s="7" t="s">
        <x:v>43</x:v>
      </x:c>
      <x:c r="Q2" s="7" t="s">
        <x:v>44</x:v>
      </x:c>
      <x:c r="R2" s="7" t="s">
        <x:v>44</x:v>
      </x:c>
    </x:row>
    <x:row r="3" ht="15" customHeight="1">
      <x:c r="A3" s="4" t="s">
        <x:v>45</x:v>
      </x:c>
      <x:c r="B3" s="7" t="s">
        <x:v>46</x:v>
      </x:c>
      <x:c r="C3" s="7" t="s">
        <x:v>46</x:v>
      </x:c>
      <x:c r="D3" s="7" t="s">
        <x:v>46</x:v>
      </x:c>
      <x:c r="E3" s="7" t="s">
        <x:v>46</x:v>
      </x:c>
      <x:c r="F3" s="7" t="s">
        <x:v>44</x:v>
      </x:c>
      <x:c r="G3" s="7" t="s">
        <x:v>46</x:v>
      </x:c>
      <x:c r="H3" s="7" t="s">
        <x:v>46</x:v>
      </x:c>
      <x:c r="I3" s="7" t="s">
        <x:v>46</x:v>
      </x:c>
      <x:c r="J3" s="7" t="s">
        <x:v>44</x:v>
      </x:c>
      <x:c r="K3" s="7" t="s">
        <x:v>46</x:v>
      </x:c>
      <x:c r="L3" s="7" t="s">
        <x:v>46</x:v>
      </x:c>
      <x:c r="M3" s="7" t="s">
        <x:v>46</x:v>
      </x:c>
      <x:c r="N3" s="7" t="s">
        <x:v>46</x:v>
      </x:c>
      <x:c r="O3" s="7" t="s">
        <x:v>46</x:v>
      </x:c>
      <x:c r="P3" s="7" t="s">
        <x:v>46</x:v>
      </x:c>
      <x:c r="Q3" s="7" t="s">
        <x:v>46</x:v>
      </x:c>
      <x:c r="R3" s="7" t="s">
        <x:v>46</x:v>
      </x:c>
    </x:row>
    <x:row r="4" ht="15" customHeight="1">
      <x:c r="A4" s="4" t="s">
        <x:v>47</x:v>
      </x:c>
      <x:c r="B4" s="7" t="s">
        <x:v>44</x:v>
      </x:c>
      <x:c r="C4" s="7" t="s">
        <x:v>43</x:v>
      </x:c>
      <x:c r="D4" s="7" t="s">
        <x:v>43</x:v>
      </x:c>
      <x:c r="E4" s="7" t="s">
        <x:v>44</x:v>
      </x:c>
      <x:c r="F4" s="7" t="s">
        <x:v>43</x:v>
      </x:c>
      <x:c r="G4" s="7" t="s">
        <x:v>43</x:v>
      </x:c>
      <x:c r="H4" s="7" t="s">
        <x:v>43</x:v>
      </x:c>
      <x:c r="I4" s="7" t="s">
        <x:v>44</x:v>
      </x:c>
      <x:c r="J4" s="7" t="s">
        <x:v>43</x:v>
      </x:c>
      <x:c r="K4" s="7" t="s">
        <x:v>43</x:v>
      </x:c>
      <x:c r="L4" s="7" t="s">
        <x:v>44</x:v>
      </x:c>
      <x:c r="M4" s="7" t="s">
        <x:v>43</x:v>
      </x:c>
      <x:c r="N4" s="7" t="s">
        <x:v>43</x:v>
      </x:c>
      <x:c r="O4" s="7" t="s">
        <x:v>44</x:v>
      </x:c>
      <x:c r="P4" s="7" t="s">
        <x:v>43</x:v>
      </x:c>
      <x:c r="Q4" s="7" t="s">
        <x:v>44</x:v>
      </x:c>
      <x:c r="R4" s="7" t="s">
        <x:v>46</x:v>
      </x:c>
    </x:row>
    <x:row r="5" ht="15" customHeight="1">
      <x:c r="A5" s="4" t="s">
        <x:v>48</x:v>
      </x:c>
      <x:c r="B5" s="7" t="s">
        <x:v>43</x:v>
      </x:c>
      <x:c r="C5" s="7" t="s">
        <x:v>43</x:v>
      </x:c>
      <x:c r="D5" s="7" t="s">
        <x:v>43</x:v>
      </x:c>
      <x:c r="E5" s="7" t="s">
        <x:v>43</x:v>
      </x:c>
      <x:c r="F5" s="7" t="s">
        <x:v>43</x:v>
      </x:c>
      <x:c r="G5" s="7" t="s">
        <x:v>44</x:v>
      </x:c>
      <x:c r="H5" s="7" t="s">
        <x:v>43</x:v>
      </x:c>
      <x:c r="I5" s="7" t="s">
        <x:v>43</x:v>
      </x:c>
      <x:c r="J5" s="7" t="s">
        <x:v>44</x:v>
      </x:c>
      <x:c r="K5" s="7" t="s">
        <x:v>43</x:v>
      </x:c>
      <x:c r="L5" s="7" t="s">
        <x:v>43</x:v>
      </x:c>
      <x:c r="M5" s="7" t="s">
        <x:v>44</x:v>
      </x:c>
      <x:c r="N5" s="7" t="s">
        <x:v>43</x:v>
      </x:c>
      <x:c r="O5" s="7" t="s">
        <x:v>43</x:v>
      </x:c>
      <x:c r="P5" s="7" t="s">
        <x:v>43</x:v>
      </x:c>
      <x:c r="Q5" s="7" t="s">
        <x:v>43</x:v>
      </x:c>
      <x:c r="R5" s="7" t="s">
        <x:v>43</x:v>
      </x:c>
    </x:row>
    <x:row r="6" ht="15" customHeight="1">
      <x:c r="A6" s="4" t="s">
        <x:v>49</x:v>
      </x:c>
      <x:c r="B6" s="7" t="s">
        <x:v>44</x:v>
      </x:c>
      <x:c r="C6" s="7" t="s">
        <x:v>43</x:v>
      </x:c>
      <x:c r="D6" s="7" t="s">
        <x:v>43</x:v>
      </x:c>
      <x:c r="E6" s="7" t="s">
        <x:v>44</x:v>
      </x:c>
      <x:c r="F6" s="7" t="s">
        <x:v>43</x:v>
      </x:c>
      <x:c r="G6" s="7" t="s">
        <x:v>44</x:v>
      </x:c>
      <x:c r="H6" s="7" t="s">
        <x:v>43</x:v>
      </x:c>
      <x:c r="I6" s="7" t="s">
        <x:v>43</x:v>
      </x:c>
      <x:c r="J6" s="7" t="s">
        <x:v>44</x:v>
      </x:c>
      <x:c r="K6" s="7" t="s">
        <x:v>43</x:v>
      </x:c>
      <x:c r="L6" s="7" t="s">
        <x:v>43</x:v>
      </x:c>
      <x:c r="M6" s="7" t="s">
        <x:v>44</x:v>
      </x:c>
      <x:c r="N6" s="7" t="s">
        <x:v>43</x:v>
      </x:c>
      <x:c r="O6" s="7" t="s">
        <x:v>43</x:v>
      </x:c>
      <x:c r="P6" s="7" t="s">
        <x:v>43</x:v>
      </x:c>
      <x:c r="Q6" s="7" t="s">
        <x:v>43</x:v>
      </x:c>
      <x:c r="R6" s="7" t="s">
        <x:v>44</x:v>
      </x:c>
    </x:row>
    <x:row r="7" ht="15" customHeight="1">
      <x:c r="A7" s="4" t="s">
        <x:v>50</x:v>
      </x:c>
      <x:c r="B7" s="7" t="s">
        <x:v>43</x:v>
      </x:c>
      <x:c r="C7" s="7" t="s">
        <x:v>43</x:v>
      </x:c>
      <x:c r="D7" s="7" t="s">
        <x:v>43</x:v>
      </x:c>
      <x:c r="E7" s="7" t="s">
        <x:v>43</x:v>
      </x:c>
      <x:c r="F7" s="7" t="s">
        <x:v>43</x:v>
      </x:c>
      <x:c r="G7" s="7" t="s">
        <x:v>43</x:v>
      </x:c>
      <x:c r="H7" s="7" t="s">
        <x:v>43</x:v>
      </x:c>
      <x:c r="I7" s="7" t="s">
        <x:v>44</x:v>
      </x:c>
      <x:c r="J7" s="7" t="s">
        <x:v>43</x:v>
      </x:c>
      <x:c r="K7" s="7" t="s">
        <x:v>43</x:v>
      </x:c>
      <x:c r="L7" s="7" t="s">
        <x:v>46</x:v>
      </x:c>
      <x:c r="M7" s="7" t="s">
        <x:v>43</x:v>
      </x:c>
      <x:c r="N7" s="7" t="s">
        <x:v>43</x:v>
      </x:c>
      <x:c r="O7" s="7" t="s">
        <x:v>46</x:v>
      </x:c>
      <x:c r="P7" s="7" t="s">
        <x:v>46</x:v>
      </x:c>
      <x:c r="Q7" s="7" t="s">
        <x:v>46</x:v>
      </x:c>
      <x:c r="R7" s="7" t="s">
        <x:v>46</x:v>
      </x:c>
    </x:row>
    <x:row r="8" ht="15" customHeight="1">
      <x:c r="A8" s="4" t="s">
        <x:v>51</x:v>
      </x:c>
      <x:c r="B8" s="7" t="s">
        <x:v>46</x:v>
      </x:c>
      <x:c r="C8" s="7" t="s">
        <x:v>44</x:v>
      </x:c>
      <x:c r="D8" s="7" t="s">
        <x:v>46</x:v>
      </x:c>
      <x:c r="E8" s="7" t="s">
        <x:v>46</x:v>
      </x:c>
      <x:c r="F8" s="7" t="s">
        <x:v>46</x:v>
      </x:c>
      <x:c r="G8" s="7" t="s">
        <x:v>46</x:v>
      </x:c>
      <x:c r="H8" s="7" t="s">
        <x:v>46</x:v>
      </x:c>
      <x:c r="I8" s="7" t="s">
        <x:v>46</x:v>
      </x:c>
      <x:c r="J8" s="7" t="s">
        <x:v>46</x:v>
      </x:c>
      <x:c r="K8" s="7" t="s">
        <x:v>46</x:v>
      </x:c>
      <x:c r="L8" s="7" t="s">
        <x:v>46</x:v>
      </x:c>
      <x:c r="M8" s="7" t="s">
        <x:v>46</x:v>
      </x:c>
      <x:c r="N8" s="7" t="s">
        <x:v>46</x:v>
      </x:c>
      <x:c r="O8" s="7" t="s">
        <x:v>46</x:v>
      </x:c>
      <x:c r="P8" s="7" t="s">
        <x:v>46</x:v>
      </x:c>
      <x:c r="Q8" s="7" t="s">
        <x:v>46</x:v>
      </x:c>
      <x:c r="R8" s="7" t="s">
        <x:v>44</x:v>
      </x:c>
    </x:row>
    <x:row r="9" ht="15" customHeight="1">
      <x:c r="A9" s="4" t="s">
        <x:v>52</x:v>
      </x:c>
      <x:c r="B9" s="7" t="s">
        <x:v>44</x:v>
      </x:c>
      <x:c r="C9" s="7" t="s">
        <x:v>43</x:v>
      </x:c>
      <x:c r="D9" s="7" t="s">
        <x:v>44</x:v>
      </x:c>
      <x:c r="E9" s="7" t="s">
        <x:v>43</x:v>
      </x:c>
      <x:c r="F9" s="7" t="s">
        <x:v>43</x:v>
      </x:c>
      <x:c r="G9" s="7" t="s">
        <x:v>46</x:v>
      </x:c>
      <x:c r="H9" s="7" t="s">
        <x:v>43</x:v>
      </x:c>
      <x:c r="I9" s="7" t="s">
        <x:v>44</x:v>
      </x:c>
      <x:c r="J9" s="7" t="s">
        <x:v>44</x:v>
      </x:c>
      <x:c r="K9" s="7" t="s">
        <x:v>43</x:v>
      </x:c>
      <x:c r="L9" s="7" t="s">
        <x:v>46</x:v>
      </x:c>
      <x:c r="M9" s="7" t="s">
        <x:v>44</x:v>
      </x:c>
      <x:c r="N9" s="7" t="s">
        <x:v>44</x:v>
      </x:c>
      <x:c r="O9" s="7" t="s">
        <x:v>43</x:v>
      </x:c>
      <x:c r="P9" s="7" t="s">
        <x:v>44</x:v>
      </x:c>
      <x:c r="Q9" s="7" t="s">
        <x:v>43</x:v>
      </x:c>
      <x:c r="R9" s="7" t="s">
        <x:v>43</x:v>
      </x:c>
    </x:row>
    <x:row r="10" ht="15" customHeight="1">
      <x:c r="A10" s="4" t="s">
        <x:v>53</x:v>
      </x:c>
      <x:c r="B10" s="7" t="s">
        <x:v>44</x:v>
      </x:c>
      <x:c r="C10" s="7" t="s">
        <x:v>43</x:v>
      </x:c>
      <x:c r="D10" s="7" t="s">
        <x:v>43</x:v>
      </x:c>
      <x:c r="E10" s="7" t="s">
        <x:v>43</x:v>
      </x:c>
      <x:c r="F10" s="7" t="s">
        <x:v>43</x:v>
      </x:c>
      <x:c r="G10" s="7" t="s">
        <x:v>46</x:v>
      </x:c>
      <x:c r="H10" s="7" t="s">
        <x:v>43</x:v>
      </x:c>
      <x:c r="I10" s="7" t="s">
        <x:v>44</x:v>
      </x:c>
      <x:c r="J10" s="7" t="s">
        <x:v>43</x:v>
      </x:c>
      <x:c r="K10" s="7" t="s">
        <x:v>43</x:v>
      </x:c>
      <x:c r="L10" s="7" t="s">
        <x:v>46</x:v>
      </x:c>
      <x:c r="M10" s="7" t="s">
        <x:v>46</x:v>
      </x:c>
      <x:c r="N10" s="7" t="s">
        <x:v>44</x:v>
      </x:c>
      <x:c r="O10" s="7" t="s">
        <x:v>43</x:v>
      </x:c>
      <x:c r="P10" s="7" t="s">
        <x:v>44</x:v>
      </x:c>
      <x:c r="Q10" s="7" t="s">
        <x:v>43</x:v>
      </x:c>
      <x:c r="R10" s="7" t="s">
        <x:v>43</x:v>
      </x:c>
    </x:row>
    <x:row r="12" ht="15" customHeight="1">
      <x:c r="A12" s="7" t="s">
        <x:v>54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8.7109375" defaultRowHeight="15"/>
  <x:cols>
    <x:col min="1" max="2" width="10" style="1" customWidth="1"/>
    <x:col min="20" max="23" width="16" style="1" customWidth="1"/>
  </x:cols>
  <x:sheetData>
    <x:row r="1" ht="127.5" customHeight="1">
      <x:c r="A1" s="4" t="s">
        <x:v>55</x:v>
      </x:c>
      <x:c r="B1" s="4" t="s">
        <x:v>56</x:v>
      </x:c>
      <x:c r="C1" s="8" t="s">
        <x:v>25</x:v>
      </x:c>
      <x:c r="D1" s="8" t="s">
        <x:v>26</x:v>
      </x:c>
      <x:c r="E1" s="8" t="s">
        <x:v>27</x:v>
      </x:c>
      <x:c r="F1" s="8" t="s">
        <x:v>28</x:v>
      </x:c>
      <x:c r="G1" s="8" t="s">
        <x:v>29</x:v>
      </x:c>
      <x:c r="H1" s="8" t="s">
        <x:v>30</x:v>
      </x:c>
      <x:c r="I1" s="8" t="s">
        <x:v>31</x:v>
      </x:c>
      <x:c r="J1" s="8" t="s">
        <x:v>32</x:v>
      </x:c>
      <x:c r="K1" s="8" t="s">
        <x:v>33</x:v>
      </x:c>
      <x:c r="L1" s="8" t="s">
        <x:v>34</x:v>
      </x:c>
      <x:c r="M1" s="8" t="s">
        <x:v>35</x:v>
      </x:c>
      <x:c r="N1" s="8" t="s">
        <x:v>36</x:v>
      </x:c>
      <x:c r="O1" s="8" t="s">
        <x:v>37</x:v>
      </x:c>
      <x:c r="P1" s="8" t="s">
        <x:v>38</x:v>
      </x:c>
      <x:c r="Q1" s="8" t="s">
        <x:v>39</x:v>
      </x:c>
      <x:c r="R1" s="8" t="s">
        <x:v>40</x:v>
      </x:c>
      <x:c r="S1" s="8" t="s">
        <x:v>41</x:v>
      </x:c>
      <x:c r="T1" s="2" t="s">
        <x:v>57</x:v>
      </x:c>
      <x:c r="U1" s="2" t="s">
        <x:v>58</x:v>
      </x:c>
      <x:c r="V1" s="2" t="s">
        <x:v>59</x:v>
      </x:c>
      <x:c r="W1" s="2" t="s">
        <x:v>1</x:v>
      </x:c>
    </x:row>
    <x:row r="2" ht="15" customHeight="1">
      <x:c r="A2" s="7" t="s">
        <x:v>42</x:v>
      </x:c>
      <x:c r="B2" s="7" t="s">
        <x:v>45</x:v>
      </x:c>
      <x:c r="C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2</x:v>
      </x:c>
      <x:c r="D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2</x:v>
      </x:c>
      <x:c r="E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2</x:v>
      </x:c>
      <x:c r="F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1</x:v>
      </x:c>
      <x:c r="G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1</x:v>
      </x:c>
      <x:c r="H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2</x:v>
      </x:c>
      <x:c r="I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2</x:v>
      </x:c>
      <x:c r="J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2</x:v>
      </x:c>
      <x:c r="K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1</x:v>
      </x:c>
      <x:c r="L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2</x:v>
      </x:c>
      <x:c r="M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2</x:v>
      </x:c>
      <x:c r="N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1</x:v>
      </x:c>
      <x:c r="O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2</x:v>
      </x:c>
      <x:c r="P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2</x:v>
      </x:c>
      <x:c r="Q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2</x:v>
      </x:c>
      <x:c r="R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1</x:v>
      </x:c>
      <x:c r="S2" s="7" t="n">
        <x:f>IF(INDEX(Net_Effect_Vectors!$B$2:$R$10,MATCH($A2,Net_Effect_Vectors!$A$2:$A$10,0),COLUMN()-2)=INDEX(Net_Effect_Vectors!$B$2:$R$10,MATCH($B2,Net_Effect_Vectors!$A$2:$A$10,0),COLUMN()-2),0,IF(OR(INDEX(Net_Effect_Vectors!$B$2:$R$10,MATCH($A2,Net_Effect_Vectors!$A$2:$A$10,0),COLUMN()-2)="~",INDEX(Net_Effect_Vectors!$B$2:$R$10,MATCH($B2,Net_Effect_Vectors!$A$2:$A$10,0),COLUMN()-2)="~"),1,2))</x:f>
        <x:v>1</x:v>
      </x:c>
      <x:c r="T2" s="7" t="n">
        <x:f t="shared" ref="T2:T37" si="0">SUM(C2:S2)</x:f>
        <x:v>28</x:v>
      </x:c>
      <x:c r="U2" s="7" t="n">
        <x:f t="shared" ref="U2:U37" si="1">ROUND(100*(1-T2/34),1)</x:f>
        <x:v>17.6</x:v>
      </x:c>
      <x:c r="V2" s="7" t="str">
        <x:f t="shared" ref="V2:V37" si="2">IF(U2&gt;=80,"HIGH COMPATIBILITY",IF(U2&gt;=65,"MODERATE-HIGH",IF(U2&gt;=50,"MODERATE",IF(U2&gt;=35,"MODERATE-LOW","HIGH RISK"))))</x:f>
        <x:v>HIGH RISK</x:v>
      </x:c>
      <x:c r="W2" s="7" t="s">
        <x:v>60</x:v>
      </x:c>
    </x:row>
    <x:row r="3" ht="15" customHeight="1">
      <x:c r="A3" s="7" t="s">
        <x:v>42</x:v>
      </x:c>
      <x:c r="B3" s="7" t="s">
        <x:v>47</x:v>
      </x:c>
      <x:c r="C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1</x:v>
      </x:c>
      <x:c r="D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0</x:v>
      </x:c>
      <x:c r="E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0</x:v>
      </x:c>
      <x:c r="F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0</x:v>
      </x:c>
      <x:c r="G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0</x:v>
      </x:c>
      <x:c r="H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0</x:v>
      </x:c>
      <x:c r="I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0</x:v>
      </x:c>
      <x:c r="J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1</x:v>
      </x:c>
      <x:c r="K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0</x:v>
      </x:c>
      <x:c r="L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0</x:v>
      </x:c>
      <x:c r="M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1</x:v>
      </x:c>
      <x:c r="N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1</x:v>
      </x:c>
      <x:c r="O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0</x:v>
      </x:c>
      <x:c r="P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1</x:v>
      </x:c>
      <x:c r="Q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0</x:v>
      </x:c>
      <x:c r="R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0</x:v>
      </x:c>
      <x:c r="S3" s="7" t="n">
        <x:f>IF(INDEX(Net_Effect_Vectors!$B$2:$R$10,MATCH($A3,Net_Effect_Vectors!$A$2:$A$10,0),COLUMN()-2)=INDEX(Net_Effect_Vectors!$B$2:$R$10,MATCH($B3,Net_Effect_Vectors!$A$2:$A$10,0),COLUMN()-2),0,IF(OR(INDEX(Net_Effect_Vectors!$B$2:$R$10,MATCH($A3,Net_Effect_Vectors!$A$2:$A$10,0),COLUMN()-2)="~",INDEX(Net_Effect_Vectors!$B$2:$R$10,MATCH($B3,Net_Effect_Vectors!$A$2:$A$10,0),COLUMN()-2)="~"),1,2))</x:f>
        <x:v>1</x:v>
      </x:c>
      <x:c r="T3" s="7">
        <x:f t="shared" si="0"/>
        <x:v>6</x:v>
      </x:c>
      <x:c r="U3" s="7">
        <x:f t="shared" si="1"/>
        <x:v>82.4</x:v>
      </x:c>
      <x:c r="V3" s="7" t="str">
        <x:f t="shared" si="2"/>
        <x:v>HIGH COMPATIBILITY</x:v>
      </x:c>
      <x:c r="W3" s="7" t="s">
        <x:v>60</x:v>
      </x:c>
    </x:row>
    <x:row r="4" ht="15" customHeight="1">
      <x:c r="A4" s="7" t="s">
        <x:v>42</x:v>
      </x:c>
      <x:c r="B4" s="7" t="s">
        <x:v>48</x:v>
      </x:c>
      <x:c r="C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0</x:v>
      </x:c>
      <x:c r="D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0</x:v>
      </x:c>
      <x:c r="E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0</x:v>
      </x:c>
      <x:c r="F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1</x:v>
      </x:c>
      <x:c r="G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0</x:v>
      </x:c>
      <x:c r="H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1</x:v>
      </x:c>
      <x:c r="I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0</x:v>
      </x:c>
      <x:c r="J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0</x:v>
      </x:c>
      <x:c r="K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1</x:v>
      </x:c>
      <x:c r="L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0</x:v>
      </x:c>
      <x:c r="M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0</x:v>
      </x:c>
      <x:c r="N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0</x:v>
      </x:c>
      <x:c r="O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0</x:v>
      </x:c>
      <x:c r="P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0</x:v>
      </x:c>
      <x:c r="Q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0</x:v>
      </x:c>
      <x:c r="R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1</x:v>
      </x:c>
      <x:c r="S4" s="7" t="n">
        <x:f>IF(INDEX(Net_Effect_Vectors!$B$2:$R$10,MATCH($A4,Net_Effect_Vectors!$A$2:$A$10,0),COLUMN()-2)=INDEX(Net_Effect_Vectors!$B$2:$R$10,MATCH($B4,Net_Effect_Vectors!$A$2:$A$10,0),COLUMN()-2),0,IF(OR(INDEX(Net_Effect_Vectors!$B$2:$R$10,MATCH($A4,Net_Effect_Vectors!$A$2:$A$10,0),COLUMN()-2)="~",INDEX(Net_Effect_Vectors!$B$2:$R$10,MATCH($B4,Net_Effect_Vectors!$A$2:$A$10,0),COLUMN()-2)="~"),1,2))</x:f>
        <x:v>1</x:v>
      </x:c>
      <x:c r="T4" s="7">
        <x:f t="shared" si="0"/>
        <x:v>5</x:v>
      </x:c>
      <x:c r="U4" s="7">
        <x:f t="shared" si="1"/>
        <x:v>85.3</x:v>
      </x:c>
      <x:c r="V4" s="7" t="str">
        <x:f t="shared" si="2"/>
        <x:v>HIGH COMPATIBILITY</x:v>
      </x:c>
      <x:c r="W4" s="7" t="s">
        <x:v>60</x:v>
      </x:c>
    </x:row>
    <x:row r="5" ht="15" customHeight="1">
      <x:c r="A5" s="7" t="s">
        <x:v>42</x:v>
      </x:c>
      <x:c r="B5" s="7" t="s">
        <x:v>49</x:v>
      </x:c>
      <x:c r="C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1</x:v>
      </x:c>
      <x:c r="D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E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F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G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H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1</x:v>
      </x:c>
      <x:c r="I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J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K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1</x:v>
      </x:c>
      <x:c r="L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M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N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O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P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Q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R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1</x:v>
      </x:c>
      <x:c r="S5" s="7" t="n">
        <x:f>IF(INDEX(Net_Effect_Vectors!$B$2:$R$10,MATCH($A5,Net_Effect_Vectors!$A$2:$A$10,0),COLUMN()-2)=INDEX(Net_Effect_Vectors!$B$2:$R$10,MATCH($B5,Net_Effect_Vectors!$A$2:$A$10,0),COLUMN()-2),0,IF(OR(INDEX(Net_Effect_Vectors!$B$2:$R$10,MATCH($A5,Net_Effect_Vectors!$A$2:$A$10,0),COLUMN()-2)="~",INDEX(Net_Effect_Vectors!$B$2:$R$10,MATCH($B5,Net_Effect_Vectors!$A$2:$A$10,0),COLUMN()-2)="~"),1,2))</x:f>
        <x:v>0</x:v>
      </x:c>
      <x:c r="T5" s="7">
        <x:f t="shared" si="0"/>
        <x:v>4</x:v>
      </x:c>
      <x:c r="U5" s="7">
        <x:f t="shared" si="1"/>
        <x:v>88.2</x:v>
      </x:c>
      <x:c r="V5" s="7" t="str">
        <x:f t="shared" si="2"/>
        <x:v>HIGH COMPATIBILITY</x:v>
      </x:c>
      <x:c r="W5" s="7" t="s">
        <x:v>60</x:v>
      </x:c>
    </x:row>
    <x:row r="6" ht="15" customHeight="1">
      <x:c r="A6" s="7" t="s">
        <x:v>42</x:v>
      </x:c>
      <x:c r="B6" s="7" t="s">
        <x:v>50</x:v>
      </x:c>
      <x:c r="C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0</x:v>
      </x:c>
      <x:c r="D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0</x:v>
      </x:c>
      <x:c r="E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0</x:v>
      </x:c>
      <x:c r="F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1</x:v>
      </x:c>
      <x:c r="G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0</x:v>
      </x:c>
      <x:c r="H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0</x:v>
      </x:c>
      <x:c r="I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0</x:v>
      </x:c>
      <x:c r="J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1</x:v>
      </x:c>
      <x:c r="K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0</x:v>
      </x:c>
      <x:c r="L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0</x:v>
      </x:c>
      <x:c r="M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2</x:v>
      </x:c>
      <x:c r="N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1</x:v>
      </x:c>
      <x:c r="O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0</x:v>
      </x:c>
      <x:c r="P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2</x:v>
      </x:c>
      <x:c r="Q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2</x:v>
      </x:c>
      <x:c r="R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1</x:v>
      </x:c>
      <x:c r="S6" s="7" t="n">
        <x:f>IF(INDEX(Net_Effect_Vectors!$B$2:$R$10,MATCH($A6,Net_Effect_Vectors!$A$2:$A$10,0),COLUMN()-2)=INDEX(Net_Effect_Vectors!$B$2:$R$10,MATCH($B6,Net_Effect_Vectors!$A$2:$A$10,0),COLUMN()-2),0,IF(OR(INDEX(Net_Effect_Vectors!$B$2:$R$10,MATCH($A6,Net_Effect_Vectors!$A$2:$A$10,0),COLUMN()-2)="~",INDEX(Net_Effect_Vectors!$B$2:$R$10,MATCH($B6,Net_Effect_Vectors!$A$2:$A$10,0),COLUMN()-2)="~"),1,2))</x:f>
        <x:v>1</x:v>
      </x:c>
      <x:c r="T6" s="7">
        <x:f t="shared" si="0"/>
        <x:v>11</x:v>
      </x:c>
      <x:c r="U6" s="7">
        <x:f t="shared" si="1"/>
        <x:v>67.599999999999994</x:v>
      </x:c>
      <x:c r="V6" s="7" t="str">
        <x:f t="shared" si="2"/>
        <x:v>MODERATE-HIGH</x:v>
      </x:c>
      <x:c r="W6" s="7" t="s">
        <x:v>60</x:v>
      </x:c>
    </x:row>
    <x:row r="7" ht="15" customHeight="1">
      <x:c r="A7" s="7" t="s">
        <x:v>42</x:v>
      </x:c>
      <x:c r="B7" s="7" t="s">
        <x:v>51</x:v>
      </x:c>
      <x:c r="C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2</x:v>
      </x:c>
      <x:c r="D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1</x:v>
      </x:c>
      <x:c r="E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2</x:v>
      </x:c>
      <x:c r="F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1</x:v>
      </x:c>
      <x:c r="G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2</x:v>
      </x:c>
      <x:c r="H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2</x:v>
      </x:c>
      <x:c r="I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2</x:v>
      </x:c>
      <x:c r="J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2</x:v>
      </x:c>
      <x:c r="K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2</x:v>
      </x:c>
      <x:c r="L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2</x:v>
      </x:c>
      <x:c r="M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2</x:v>
      </x:c>
      <x:c r="N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1</x:v>
      </x:c>
      <x:c r="O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2</x:v>
      </x:c>
      <x:c r="P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2</x:v>
      </x:c>
      <x:c r="Q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2</x:v>
      </x:c>
      <x:c r="R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1</x:v>
      </x:c>
      <x:c r="S7" s="7" t="n">
        <x:f>IF(INDEX(Net_Effect_Vectors!$B$2:$R$10,MATCH($A7,Net_Effect_Vectors!$A$2:$A$10,0),COLUMN()-2)=INDEX(Net_Effect_Vectors!$B$2:$R$10,MATCH($B7,Net_Effect_Vectors!$A$2:$A$10,0),COLUMN()-2),0,IF(OR(INDEX(Net_Effect_Vectors!$B$2:$R$10,MATCH($A7,Net_Effect_Vectors!$A$2:$A$10,0),COLUMN()-2)="~",INDEX(Net_Effect_Vectors!$B$2:$R$10,MATCH($B7,Net_Effect_Vectors!$A$2:$A$10,0),COLUMN()-2)="~"),1,2))</x:f>
        <x:v>0</x:v>
      </x:c>
      <x:c r="T7" s="7">
        <x:f t="shared" si="0"/>
        <x:v>28</x:v>
      </x:c>
      <x:c r="U7" s="7">
        <x:f t="shared" si="1"/>
        <x:v>17.600000000000001</x:v>
      </x:c>
      <x:c r="V7" s="7" t="str">
        <x:f t="shared" si="2"/>
        <x:v>HIGH RISK</x:v>
      </x:c>
      <x:c r="W7" s="7" t="s">
        <x:v>60</x:v>
      </x:c>
    </x:row>
    <x:row r="8" ht="15" customHeight="1">
      <x:c r="A8" s="7" t="s">
        <x:v>42</x:v>
      </x:c>
      <x:c r="B8" s="7" t="s">
        <x:v>52</x:v>
      </x:c>
      <x:c r="C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1</x:v>
      </x:c>
      <x:c r="D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0</x:v>
      </x:c>
      <x:c r="E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1</x:v>
      </x:c>
      <x:c r="F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1</x:v>
      </x:c>
      <x:c r="G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0</x:v>
      </x:c>
      <x:c r="H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2</x:v>
      </x:c>
      <x:c r="I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0</x:v>
      </x:c>
      <x:c r="J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1</x:v>
      </x:c>
      <x:c r="K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1</x:v>
      </x:c>
      <x:c r="L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0</x:v>
      </x:c>
      <x:c r="M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2</x:v>
      </x:c>
      <x:c r="N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0</x:v>
      </x:c>
      <x:c r="O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1</x:v>
      </x:c>
      <x:c r="P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0</x:v>
      </x:c>
      <x:c r="Q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1</x:v>
      </x:c>
      <x:c r="R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1</x:v>
      </x:c>
      <x:c r="S8" s="7" t="n">
        <x:f>IF(INDEX(Net_Effect_Vectors!$B$2:$R$10,MATCH($A8,Net_Effect_Vectors!$A$2:$A$10,0),COLUMN()-2)=INDEX(Net_Effect_Vectors!$B$2:$R$10,MATCH($B8,Net_Effect_Vectors!$A$2:$A$10,0),COLUMN()-2),0,IF(OR(INDEX(Net_Effect_Vectors!$B$2:$R$10,MATCH($A8,Net_Effect_Vectors!$A$2:$A$10,0),COLUMN()-2)="~",INDEX(Net_Effect_Vectors!$B$2:$R$10,MATCH($B8,Net_Effect_Vectors!$A$2:$A$10,0),COLUMN()-2)="~"),1,2))</x:f>
        <x:v>1</x:v>
      </x:c>
      <x:c r="T8" s="7">
        <x:f t="shared" si="0"/>
        <x:v>13</x:v>
      </x:c>
      <x:c r="U8" s="7">
        <x:f t="shared" si="1"/>
        <x:v>61.8</x:v>
      </x:c>
      <x:c r="V8" s="7" t="str">
        <x:f t="shared" si="2"/>
        <x:v>MODERATE</x:v>
      </x:c>
      <x:c r="W8" s="7" t="s">
        <x:v>60</x:v>
      </x:c>
    </x:row>
    <x:row r="9" ht="15" customHeight="1">
      <x:c r="A9" s="7" t="s">
        <x:v>42</x:v>
      </x:c>
      <x:c r="B9" s="7" t="s">
        <x:v>53</x:v>
      </x:c>
      <x:c r="C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1</x:v>
      </x:c>
      <x:c r="D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0</x:v>
      </x:c>
      <x:c r="E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0</x:v>
      </x:c>
      <x:c r="F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1</x:v>
      </x:c>
      <x:c r="G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0</x:v>
      </x:c>
      <x:c r="H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2</x:v>
      </x:c>
      <x:c r="I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0</x:v>
      </x:c>
      <x:c r="J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1</x:v>
      </x:c>
      <x:c r="K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0</x:v>
      </x:c>
      <x:c r="L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0</x:v>
      </x:c>
      <x:c r="M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2</x:v>
      </x:c>
      <x:c r="N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1</x:v>
      </x:c>
      <x:c r="O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1</x:v>
      </x:c>
      <x:c r="P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0</x:v>
      </x:c>
      <x:c r="Q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1</x:v>
      </x:c>
      <x:c r="R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1</x:v>
      </x:c>
      <x:c r="S9" s="7" t="n">
        <x:f>IF(INDEX(Net_Effect_Vectors!$B$2:$R$10,MATCH($A9,Net_Effect_Vectors!$A$2:$A$10,0),COLUMN()-2)=INDEX(Net_Effect_Vectors!$B$2:$R$10,MATCH($B9,Net_Effect_Vectors!$A$2:$A$10,0),COLUMN()-2),0,IF(OR(INDEX(Net_Effect_Vectors!$B$2:$R$10,MATCH($A9,Net_Effect_Vectors!$A$2:$A$10,0),COLUMN()-2)="~",INDEX(Net_Effect_Vectors!$B$2:$R$10,MATCH($B9,Net_Effect_Vectors!$A$2:$A$10,0),COLUMN()-2)="~"),1,2))</x:f>
        <x:v>1</x:v>
      </x:c>
      <x:c r="T9" s="7">
        <x:f t="shared" si="0"/>
        <x:v>12</x:v>
      </x:c>
      <x:c r="U9" s="7">
        <x:f t="shared" si="1"/>
        <x:v>64.7</x:v>
      </x:c>
      <x:c r="V9" s="7" t="str">
        <x:f t="shared" si="2"/>
        <x:v>MODERATE</x:v>
      </x:c>
      <x:c r="W9" s="7" t="s">
        <x:v>61</x:v>
      </x:c>
    </x:row>
    <x:row r="10" ht="15" customHeight="1">
      <x:c r="A10" s="7" t="s">
        <x:v>45</x:v>
      </x:c>
      <x:c r="B10" s="7" t="s">
        <x:v>47</x:v>
      </x:c>
      <x:c r="C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1</x:v>
      </x:c>
      <x:c r="D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2</x:v>
      </x:c>
      <x:c r="E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2</x:v>
      </x:c>
      <x:c r="F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1</x:v>
      </x:c>
      <x:c r="G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1</x:v>
      </x:c>
      <x:c r="H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2</x:v>
      </x:c>
      <x:c r="I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2</x:v>
      </x:c>
      <x:c r="J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1</x:v>
      </x:c>
      <x:c r="K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1</x:v>
      </x:c>
      <x:c r="L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2</x:v>
      </x:c>
      <x:c r="M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1</x:v>
      </x:c>
      <x:c r="N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2</x:v>
      </x:c>
      <x:c r="O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2</x:v>
      </x:c>
      <x:c r="P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1</x:v>
      </x:c>
      <x:c r="Q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2</x:v>
      </x:c>
      <x:c r="R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1</x:v>
      </x:c>
      <x:c r="S10" s="7" t="n">
        <x:f>IF(INDEX(Net_Effect_Vectors!$B$2:$R$10,MATCH($A10,Net_Effect_Vectors!$A$2:$A$10,0),COLUMN()-2)=INDEX(Net_Effect_Vectors!$B$2:$R$10,MATCH($B10,Net_Effect_Vectors!$A$2:$A$10,0),COLUMN()-2),0,IF(OR(INDEX(Net_Effect_Vectors!$B$2:$R$10,MATCH($A10,Net_Effect_Vectors!$A$2:$A$10,0),COLUMN()-2)="~",INDEX(Net_Effect_Vectors!$B$2:$R$10,MATCH($B10,Net_Effect_Vectors!$A$2:$A$10,0),COLUMN()-2)="~"),1,2))</x:f>
        <x:v>0</x:v>
      </x:c>
      <x:c r="T10" s="7">
        <x:f t="shared" si="0"/>
        <x:v>24</x:v>
      </x:c>
      <x:c r="U10" s="7">
        <x:f t="shared" si="1"/>
        <x:v>29.4</x:v>
      </x:c>
      <x:c r="V10" s="7" t="str">
        <x:f t="shared" si="2"/>
        <x:v>HIGH RISK</x:v>
      </x:c>
      <x:c r="W10" s="7" t="s">
        <x:v>60</x:v>
      </x:c>
    </x:row>
    <x:row r="11" ht="15" customHeight="1">
      <x:c r="A11" s="7" t="s">
        <x:v>45</x:v>
      </x:c>
      <x:c r="B11" s="7" t="s">
        <x:v>48</x:v>
      </x:c>
      <x:c r="C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D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E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F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G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1</x:v>
      </x:c>
      <x:c r="H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1</x:v>
      </x:c>
      <x:c r="I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J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K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0</x:v>
      </x:c>
      <x:c r="L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M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N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1</x:v>
      </x:c>
      <x:c r="O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P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Q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R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S11" s="7" t="n">
        <x:f>IF(INDEX(Net_Effect_Vectors!$B$2:$R$10,MATCH($A11,Net_Effect_Vectors!$A$2:$A$10,0),COLUMN()-2)=INDEX(Net_Effect_Vectors!$B$2:$R$10,MATCH($B11,Net_Effect_Vectors!$A$2:$A$10,0),COLUMN()-2),0,IF(OR(INDEX(Net_Effect_Vectors!$B$2:$R$10,MATCH($A11,Net_Effect_Vectors!$A$2:$A$10,0),COLUMN()-2)="~",INDEX(Net_Effect_Vectors!$B$2:$R$10,MATCH($B11,Net_Effect_Vectors!$A$2:$A$10,0),COLUMN()-2)="~"),1,2))</x:f>
        <x:v>2</x:v>
      </x:c>
      <x:c r="T11" s="7">
        <x:f t="shared" si="0"/>
        <x:v>29</x:v>
      </x:c>
      <x:c r="U11" s="7">
        <x:f t="shared" si="1"/>
        <x:v>14.7</x:v>
      </x:c>
      <x:c r="V11" s="7" t="str">
        <x:f t="shared" si="2"/>
        <x:v>HIGH RISK</x:v>
      </x:c>
      <x:c r="W11" s="7" t="s">
        <x:v>60</x:v>
      </x:c>
    </x:row>
    <x:row r="12" ht="15" customHeight="1">
      <x:c r="A12" s="7" t="s">
        <x:v>45</x:v>
      </x:c>
      <x:c r="B12" s="7" t="s">
        <x:v>49</x:v>
      </x:c>
      <x:c r="C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1</x:v>
      </x:c>
      <x:c r="D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2</x:v>
      </x:c>
      <x:c r="E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2</x:v>
      </x:c>
      <x:c r="F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1</x:v>
      </x:c>
      <x:c r="G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1</x:v>
      </x:c>
      <x:c r="H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1</x:v>
      </x:c>
      <x:c r="I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2</x:v>
      </x:c>
      <x:c r="J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2</x:v>
      </x:c>
      <x:c r="K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0</x:v>
      </x:c>
      <x:c r="L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2</x:v>
      </x:c>
      <x:c r="M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2</x:v>
      </x:c>
      <x:c r="N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1</x:v>
      </x:c>
      <x:c r="O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2</x:v>
      </x:c>
      <x:c r="P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2</x:v>
      </x:c>
      <x:c r="Q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2</x:v>
      </x:c>
      <x:c r="R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2</x:v>
      </x:c>
      <x:c r="S12" s="7" t="n">
        <x:f>IF(INDEX(Net_Effect_Vectors!$B$2:$R$10,MATCH($A12,Net_Effect_Vectors!$A$2:$A$10,0),COLUMN()-2)=INDEX(Net_Effect_Vectors!$B$2:$R$10,MATCH($B12,Net_Effect_Vectors!$A$2:$A$10,0),COLUMN()-2),0,IF(OR(INDEX(Net_Effect_Vectors!$B$2:$R$10,MATCH($A12,Net_Effect_Vectors!$A$2:$A$10,0),COLUMN()-2)="~",INDEX(Net_Effect_Vectors!$B$2:$R$10,MATCH($B12,Net_Effect_Vectors!$A$2:$A$10,0),COLUMN()-2)="~"),1,2))</x:f>
        <x:v>1</x:v>
      </x:c>
      <x:c r="T12" s="7">
        <x:f t="shared" si="0"/>
        <x:v>26</x:v>
      </x:c>
      <x:c r="U12" s="7">
        <x:f t="shared" si="1"/>
        <x:v>23.5</x:v>
      </x:c>
      <x:c r="V12" s="7" t="str">
        <x:f t="shared" si="2"/>
        <x:v>HIGH RISK</x:v>
      </x:c>
      <x:c r="W12" s="7" t="s">
        <x:v>60</x:v>
      </x:c>
    </x:row>
    <x:row r="13" ht="15" customHeight="1">
      <x:c r="A13" s="7" t="s">
        <x:v>45</x:v>
      </x:c>
      <x:c r="B13" s="7" t="s">
        <x:v>50</x:v>
      </x:c>
      <x:c r="C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2</x:v>
      </x:c>
      <x:c r="D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2</x:v>
      </x:c>
      <x:c r="E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2</x:v>
      </x:c>
      <x:c r="F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2</x:v>
      </x:c>
      <x:c r="G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1</x:v>
      </x:c>
      <x:c r="H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2</x:v>
      </x:c>
      <x:c r="I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2</x:v>
      </x:c>
      <x:c r="J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1</x:v>
      </x:c>
      <x:c r="K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1</x:v>
      </x:c>
      <x:c r="L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2</x:v>
      </x:c>
      <x:c r="M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0</x:v>
      </x:c>
      <x:c r="N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2</x:v>
      </x:c>
      <x:c r="O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2</x:v>
      </x:c>
      <x:c r="P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0</x:v>
      </x:c>
      <x:c r="Q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0</x:v>
      </x:c>
      <x:c r="R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0</x:v>
      </x:c>
      <x:c r="S13" s="7" t="n">
        <x:f>IF(INDEX(Net_Effect_Vectors!$B$2:$R$10,MATCH($A13,Net_Effect_Vectors!$A$2:$A$10,0),COLUMN()-2)=INDEX(Net_Effect_Vectors!$B$2:$R$10,MATCH($B13,Net_Effect_Vectors!$A$2:$A$10,0),COLUMN()-2),0,IF(OR(INDEX(Net_Effect_Vectors!$B$2:$R$10,MATCH($A13,Net_Effect_Vectors!$A$2:$A$10,0),COLUMN()-2)="~",INDEX(Net_Effect_Vectors!$B$2:$R$10,MATCH($B13,Net_Effect_Vectors!$A$2:$A$10,0),COLUMN()-2)="~"),1,2))</x:f>
        <x:v>0</x:v>
      </x:c>
      <x:c r="T13" s="7">
        <x:f t="shared" si="0"/>
        <x:v>21</x:v>
      </x:c>
      <x:c r="U13" s="7">
        <x:f t="shared" si="1"/>
        <x:v>38.200000000000003</x:v>
      </x:c>
      <x:c r="V13" s="7" t="str">
        <x:f t="shared" si="2"/>
        <x:v>MODERATE-LOW</x:v>
      </x:c>
      <x:c r="W13" s="7" t="s">
        <x:v>60</x:v>
      </x:c>
    </x:row>
    <x:row r="14" ht="15" customHeight="1">
      <x:c r="A14" s="7" t="s">
        <x:v>45</x:v>
      </x:c>
      <x:c r="B14" s="7" t="s">
        <x:v>51</x:v>
      </x:c>
      <x:c r="C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D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1</x:v>
      </x:c>
      <x:c r="E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F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G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1</x:v>
      </x:c>
      <x:c r="H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I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J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K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1</x:v>
      </x:c>
      <x:c r="L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M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N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O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P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Q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R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0</x:v>
      </x:c>
      <x:c r="S14" s="7" t="n">
        <x:f>IF(INDEX(Net_Effect_Vectors!$B$2:$R$10,MATCH($A14,Net_Effect_Vectors!$A$2:$A$10,0),COLUMN()-2)=INDEX(Net_Effect_Vectors!$B$2:$R$10,MATCH($B14,Net_Effect_Vectors!$A$2:$A$10,0),COLUMN()-2),0,IF(OR(INDEX(Net_Effect_Vectors!$B$2:$R$10,MATCH($A14,Net_Effect_Vectors!$A$2:$A$10,0),COLUMN()-2)="~",INDEX(Net_Effect_Vectors!$B$2:$R$10,MATCH($B14,Net_Effect_Vectors!$A$2:$A$10,0),COLUMN()-2)="~"),1,2))</x:f>
        <x:v>1</x:v>
      </x:c>
      <x:c r="T14" s="7">
        <x:f t="shared" si="0"/>
        <x:v>4</x:v>
      </x:c>
      <x:c r="U14" s="7">
        <x:f t="shared" si="1"/>
        <x:v>88.2</x:v>
      </x:c>
      <x:c r="V14" s="7" t="str">
        <x:f t="shared" si="2"/>
        <x:v>HIGH COMPATIBILITY</x:v>
      </x:c>
      <x:c r="W14" s="7" t="s">
        <x:v>60</x:v>
      </x:c>
    </x:row>
    <x:row r="15" ht="15" customHeight="1">
      <x:c r="A15" s="7" t="s">
        <x:v>45</x:v>
      </x:c>
      <x:c r="B15" s="7" t="s">
        <x:v>52</x:v>
      </x:c>
      <x:c r="C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1</x:v>
      </x:c>
      <x:c r="D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2</x:v>
      </x:c>
      <x:c r="E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1</x:v>
      </x:c>
      <x:c r="F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2</x:v>
      </x:c>
      <x:c r="G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1</x:v>
      </x:c>
      <x:c r="H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0</x:v>
      </x:c>
      <x:c r="I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2</x:v>
      </x:c>
      <x:c r="J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1</x:v>
      </x:c>
      <x:c r="K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0</x:v>
      </x:c>
      <x:c r="L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2</x:v>
      </x:c>
      <x:c r="M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0</x:v>
      </x:c>
      <x:c r="N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1</x:v>
      </x:c>
      <x:c r="O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1</x:v>
      </x:c>
      <x:c r="P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2</x:v>
      </x:c>
      <x:c r="Q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1</x:v>
      </x:c>
      <x:c r="R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2</x:v>
      </x:c>
      <x:c r="S15" s="7" t="n">
        <x:f>IF(INDEX(Net_Effect_Vectors!$B$2:$R$10,MATCH($A15,Net_Effect_Vectors!$A$2:$A$10,0),COLUMN()-2)=INDEX(Net_Effect_Vectors!$B$2:$R$10,MATCH($B15,Net_Effect_Vectors!$A$2:$A$10,0),COLUMN()-2),0,IF(OR(INDEX(Net_Effect_Vectors!$B$2:$R$10,MATCH($A15,Net_Effect_Vectors!$A$2:$A$10,0),COLUMN()-2)="~",INDEX(Net_Effect_Vectors!$B$2:$R$10,MATCH($B15,Net_Effect_Vectors!$A$2:$A$10,0),COLUMN()-2)="~"),1,2))</x:f>
        <x:v>2</x:v>
      </x:c>
      <x:c r="T15" s="7">
        <x:f t="shared" si="0"/>
        <x:v>21</x:v>
      </x:c>
      <x:c r="U15" s="7">
        <x:f t="shared" si="1"/>
        <x:v>38.200000000000003</x:v>
      </x:c>
      <x:c r="V15" s="7" t="str">
        <x:f t="shared" si="2"/>
        <x:v>MODERATE-LOW</x:v>
      </x:c>
      <x:c r="W15" s="7" t="s">
        <x:v>60</x:v>
      </x:c>
    </x:row>
    <x:row r="16" ht="15" customHeight="1">
      <x:c r="A16" s="7" t="s">
        <x:v>45</x:v>
      </x:c>
      <x:c r="B16" s="7" t="s">
        <x:v>53</x:v>
      </x:c>
      <x:c r="C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1</x:v>
      </x:c>
      <x:c r="D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2</x:v>
      </x:c>
      <x:c r="E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2</x:v>
      </x:c>
      <x:c r="F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2</x:v>
      </x:c>
      <x:c r="G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1</x:v>
      </x:c>
      <x:c r="H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0</x:v>
      </x:c>
      <x:c r="I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2</x:v>
      </x:c>
      <x:c r="J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1</x:v>
      </x:c>
      <x:c r="K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1</x:v>
      </x:c>
      <x:c r="L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2</x:v>
      </x:c>
      <x:c r="M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0</x:v>
      </x:c>
      <x:c r="N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0</x:v>
      </x:c>
      <x:c r="O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1</x:v>
      </x:c>
      <x:c r="P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2</x:v>
      </x:c>
      <x:c r="Q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1</x:v>
      </x:c>
      <x:c r="R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2</x:v>
      </x:c>
      <x:c r="S16" s="7" t="n">
        <x:f>IF(INDEX(Net_Effect_Vectors!$B$2:$R$10,MATCH($A16,Net_Effect_Vectors!$A$2:$A$10,0),COLUMN()-2)=INDEX(Net_Effect_Vectors!$B$2:$R$10,MATCH($B16,Net_Effect_Vectors!$A$2:$A$10,0),COLUMN()-2),0,IF(OR(INDEX(Net_Effect_Vectors!$B$2:$R$10,MATCH($A16,Net_Effect_Vectors!$A$2:$A$10,0),COLUMN()-2)="~",INDEX(Net_Effect_Vectors!$B$2:$R$10,MATCH($B16,Net_Effect_Vectors!$A$2:$A$10,0),COLUMN()-2)="~"),1,2))</x:f>
        <x:v>2</x:v>
      </x:c>
      <x:c r="T16" s="7">
        <x:f t="shared" si="0"/>
        <x:v>22</x:v>
      </x:c>
      <x:c r="U16" s="7">
        <x:f t="shared" si="1"/>
        <x:v>35.299999999999997</x:v>
      </x:c>
      <x:c r="V16" s="7" t="str">
        <x:f t="shared" si="2"/>
        <x:v>MODERATE-LOW</x:v>
      </x:c>
      <x:c r="W16" s="7" t="s">
        <x:v>61</x:v>
      </x:c>
    </x:row>
    <x:row r="17" ht="15" customHeight="1">
      <x:c r="A17" s="7" t="s">
        <x:v>47</x:v>
      </x:c>
      <x:c r="B17" s="7" t="s">
        <x:v>48</x:v>
      </x:c>
      <x:c r="C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1</x:v>
      </x:c>
      <x:c r="D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0</x:v>
      </x:c>
      <x:c r="E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0</x:v>
      </x:c>
      <x:c r="F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1</x:v>
      </x:c>
      <x:c r="G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0</x:v>
      </x:c>
      <x:c r="H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1</x:v>
      </x:c>
      <x:c r="I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0</x:v>
      </x:c>
      <x:c r="J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1</x:v>
      </x:c>
      <x:c r="K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1</x:v>
      </x:c>
      <x:c r="L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0</x:v>
      </x:c>
      <x:c r="M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1</x:v>
      </x:c>
      <x:c r="N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1</x:v>
      </x:c>
      <x:c r="O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0</x:v>
      </x:c>
      <x:c r="P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1</x:v>
      </x:c>
      <x:c r="Q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0</x:v>
      </x:c>
      <x:c r="R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1</x:v>
      </x:c>
      <x:c r="S17" s="7" t="n">
        <x:f>IF(INDEX(Net_Effect_Vectors!$B$2:$R$10,MATCH($A17,Net_Effect_Vectors!$A$2:$A$10,0),COLUMN()-2)=INDEX(Net_Effect_Vectors!$B$2:$R$10,MATCH($B17,Net_Effect_Vectors!$A$2:$A$10,0),COLUMN()-2),0,IF(OR(INDEX(Net_Effect_Vectors!$B$2:$R$10,MATCH($A17,Net_Effect_Vectors!$A$2:$A$10,0),COLUMN()-2)="~",INDEX(Net_Effect_Vectors!$B$2:$R$10,MATCH($B17,Net_Effect_Vectors!$A$2:$A$10,0),COLUMN()-2)="~"),1,2))</x:f>
        <x:v>2</x:v>
      </x:c>
      <x:c r="T17" s="7">
        <x:f t="shared" si="0"/>
        <x:v>11</x:v>
      </x:c>
      <x:c r="U17" s="7">
        <x:f t="shared" si="1"/>
        <x:v>67.599999999999994</x:v>
      </x:c>
      <x:c r="V17" s="7" t="str">
        <x:f t="shared" si="2"/>
        <x:v>MODERATE-HIGH</x:v>
      </x:c>
      <x:c r="W17" s="7" t="s">
        <x:v>60</x:v>
      </x:c>
    </x:row>
    <x:row r="18" ht="15" customHeight="1">
      <x:c r="A18" s="7" t="s">
        <x:v>47</x:v>
      </x:c>
      <x:c r="B18" s="7" t="s">
        <x:v>49</x:v>
      </x:c>
      <x:c r="C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0</x:v>
      </x:c>
      <x:c r="D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0</x:v>
      </x:c>
      <x:c r="E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0</x:v>
      </x:c>
      <x:c r="F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0</x:v>
      </x:c>
      <x:c r="G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0</x:v>
      </x:c>
      <x:c r="H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1</x:v>
      </x:c>
      <x:c r="I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0</x:v>
      </x:c>
      <x:c r="J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1</x:v>
      </x:c>
      <x:c r="K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1</x:v>
      </x:c>
      <x:c r="L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0</x:v>
      </x:c>
      <x:c r="M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1</x:v>
      </x:c>
      <x:c r="N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1</x:v>
      </x:c>
      <x:c r="O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0</x:v>
      </x:c>
      <x:c r="P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1</x:v>
      </x:c>
      <x:c r="Q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0</x:v>
      </x:c>
      <x:c r="R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1</x:v>
      </x:c>
      <x:c r="S18" s="7" t="n">
        <x:f>IF(INDEX(Net_Effect_Vectors!$B$2:$R$10,MATCH($A18,Net_Effect_Vectors!$A$2:$A$10,0),COLUMN()-2)=INDEX(Net_Effect_Vectors!$B$2:$R$10,MATCH($B18,Net_Effect_Vectors!$A$2:$A$10,0),COLUMN()-2),0,IF(OR(INDEX(Net_Effect_Vectors!$B$2:$R$10,MATCH($A18,Net_Effect_Vectors!$A$2:$A$10,0),COLUMN()-2)="~",INDEX(Net_Effect_Vectors!$B$2:$R$10,MATCH($B18,Net_Effect_Vectors!$A$2:$A$10,0),COLUMN()-2)="~"),1,2))</x:f>
        <x:v>1</x:v>
      </x:c>
      <x:c r="T18" s="7">
        <x:f t="shared" si="0"/>
        <x:v>8</x:v>
      </x:c>
      <x:c r="U18" s="7">
        <x:f t="shared" si="1"/>
        <x:v>76.5</x:v>
      </x:c>
      <x:c r="V18" s="7" t="str">
        <x:f t="shared" si="2"/>
        <x:v>MODERATE-HIGH</x:v>
      </x:c>
      <x:c r="W18" s="7" t="s">
        <x:v>60</x:v>
      </x:c>
    </x:row>
    <x:row r="19" ht="15" customHeight="1">
      <x:c r="A19" s="7" t="s">
        <x:v>47</x:v>
      </x:c>
      <x:c r="B19" s="7" t="s">
        <x:v>50</x:v>
      </x:c>
      <x:c r="C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1</x:v>
      </x:c>
      <x:c r="D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0</x:v>
      </x:c>
      <x:c r="E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0</x:v>
      </x:c>
      <x:c r="F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1</x:v>
      </x:c>
      <x:c r="G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0</x:v>
      </x:c>
      <x:c r="H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0</x:v>
      </x:c>
      <x:c r="I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0</x:v>
      </x:c>
      <x:c r="J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0</x:v>
      </x:c>
      <x:c r="K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0</x:v>
      </x:c>
      <x:c r="L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0</x:v>
      </x:c>
      <x:c r="M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1</x:v>
      </x:c>
      <x:c r="N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0</x:v>
      </x:c>
      <x:c r="O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0</x:v>
      </x:c>
      <x:c r="P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1</x:v>
      </x:c>
      <x:c r="Q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2</x:v>
      </x:c>
      <x:c r="R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1</x:v>
      </x:c>
      <x:c r="S19" s="7" t="n">
        <x:f>IF(INDEX(Net_Effect_Vectors!$B$2:$R$10,MATCH($A19,Net_Effect_Vectors!$A$2:$A$10,0),COLUMN()-2)=INDEX(Net_Effect_Vectors!$B$2:$R$10,MATCH($B19,Net_Effect_Vectors!$A$2:$A$10,0),COLUMN()-2),0,IF(OR(INDEX(Net_Effect_Vectors!$B$2:$R$10,MATCH($A19,Net_Effect_Vectors!$A$2:$A$10,0),COLUMN()-2)="~",INDEX(Net_Effect_Vectors!$B$2:$R$10,MATCH($B19,Net_Effect_Vectors!$A$2:$A$10,0),COLUMN()-2)="~"),1,2))</x:f>
        <x:v>0</x:v>
      </x:c>
      <x:c r="T19" s="7">
        <x:f t="shared" si="0"/>
        <x:v>7</x:v>
      </x:c>
      <x:c r="U19" s="7">
        <x:f t="shared" si="1"/>
        <x:v>79.400000000000006</x:v>
      </x:c>
      <x:c r="V19" s="7" t="str">
        <x:f t="shared" si="2"/>
        <x:v>MODERATE-HIGH</x:v>
      </x:c>
      <x:c r="W19" s="7" t="s">
        <x:v>60</x:v>
      </x:c>
    </x:row>
    <x:row r="20" ht="15" customHeight="1">
      <x:c r="A20" s="7" t="s">
        <x:v>47</x:v>
      </x:c>
      <x:c r="B20" s="7" t="s">
        <x:v>51</x:v>
      </x:c>
      <x:c r="C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1</x:v>
      </x:c>
      <x:c r="D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1</x:v>
      </x:c>
      <x:c r="E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2</x:v>
      </x:c>
      <x:c r="F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1</x:v>
      </x:c>
      <x:c r="G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2</x:v>
      </x:c>
      <x:c r="H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2</x:v>
      </x:c>
      <x:c r="I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2</x:v>
      </x:c>
      <x:c r="J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1</x:v>
      </x:c>
      <x:c r="K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2</x:v>
      </x:c>
      <x:c r="L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2</x:v>
      </x:c>
      <x:c r="M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1</x:v>
      </x:c>
      <x:c r="N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2</x:v>
      </x:c>
      <x:c r="O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2</x:v>
      </x:c>
      <x:c r="P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1</x:v>
      </x:c>
      <x:c r="Q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2</x:v>
      </x:c>
      <x:c r="R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1</x:v>
      </x:c>
      <x:c r="S20" s="7" t="n">
        <x:f>IF(INDEX(Net_Effect_Vectors!$B$2:$R$10,MATCH($A20,Net_Effect_Vectors!$A$2:$A$10,0),COLUMN()-2)=INDEX(Net_Effect_Vectors!$B$2:$R$10,MATCH($B20,Net_Effect_Vectors!$A$2:$A$10,0),COLUMN()-2),0,IF(OR(INDEX(Net_Effect_Vectors!$B$2:$R$10,MATCH($A20,Net_Effect_Vectors!$A$2:$A$10,0),COLUMN()-2)="~",INDEX(Net_Effect_Vectors!$B$2:$R$10,MATCH($B20,Net_Effect_Vectors!$A$2:$A$10,0),COLUMN()-2)="~"),1,2))</x:f>
        <x:v>1</x:v>
      </x:c>
      <x:c r="T20" s="7">
        <x:f t="shared" si="0"/>
        <x:v>26</x:v>
      </x:c>
      <x:c r="U20" s="7">
        <x:f t="shared" si="1"/>
        <x:v>23.5</x:v>
      </x:c>
      <x:c r="V20" s="7" t="str">
        <x:f t="shared" si="2"/>
        <x:v>HIGH RISK</x:v>
      </x:c>
      <x:c r="W20" s="7" t="s">
        <x:v>60</x:v>
      </x:c>
    </x:row>
    <x:row r="21" ht="15" customHeight="1">
      <x:c r="A21" s="7" t="s">
        <x:v>47</x:v>
      </x:c>
      <x:c r="B21" s="7" t="s">
        <x:v>52</x:v>
      </x:c>
      <x:c r="C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0</x:v>
      </x:c>
      <x:c r="D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0</x:v>
      </x:c>
      <x:c r="E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1</x:v>
      </x:c>
      <x:c r="F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1</x:v>
      </x:c>
      <x:c r="G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0</x:v>
      </x:c>
      <x:c r="H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2</x:v>
      </x:c>
      <x:c r="I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0</x:v>
      </x:c>
      <x:c r="J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0</x:v>
      </x:c>
      <x:c r="K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1</x:v>
      </x:c>
      <x:c r="L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0</x:v>
      </x:c>
      <x:c r="M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1</x:v>
      </x:c>
      <x:c r="N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1</x:v>
      </x:c>
      <x:c r="O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1</x:v>
      </x:c>
      <x:c r="P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1</x:v>
      </x:c>
      <x:c r="Q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1</x:v>
      </x:c>
      <x:c r="R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1</x:v>
      </x:c>
      <x:c r="S21" s="7" t="n">
        <x:f>IF(INDEX(Net_Effect_Vectors!$B$2:$R$10,MATCH($A21,Net_Effect_Vectors!$A$2:$A$10,0),COLUMN()-2)=INDEX(Net_Effect_Vectors!$B$2:$R$10,MATCH($B21,Net_Effect_Vectors!$A$2:$A$10,0),COLUMN()-2),0,IF(OR(INDEX(Net_Effect_Vectors!$B$2:$R$10,MATCH($A21,Net_Effect_Vectors!$A$2:$A$10,0),COLUMN()-2)="~",INDEX(Net_Effect_Vectors!$B$2:$R$10,MATCH($B21,Net_Effect_Vectors!$A$2:$A$10,0),COLUMN()-2)="~"),1,2))</x:f>
        <x:v>2</x:v>
      </x:c>
      <x:c r="T21" s="7">
        <x:f t="shared" si="0"/>
        <x:v>13</x:v>
      </x:c>
      <x:c r="U21" s="7">
        <x:f t="shared" si="1"/>
        <x:v>61.8</x:v>
      </x:c>
      <x:c r="V21" s="7" t="str">
        <x:f t="shared" si="2"/>
        <x:v>MODERATE</x:v>
      </x:c>
      <x:c r="W21" s="7" t="s">
        <x:v>60</x:v>
      </x:c>
    </x:row>
    <x:row r="22" ht="15" customHeight="1">
      <x:c r="A22" s="7" t="s">
        <x:v>47</x:v>
      </x:c>
      <x:c r="B22" s="7" t="s">
        <x:v>53</x:v>
      </x:c>
      <x:c r="C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0</x:v>
      </x:c>
      <x:c r="D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0</x:v>
      </x:c>
      <x:c r="E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0</x:v>
      </x:c>
      <x:c r="F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1</x:v>
      </x:c>
      <x:c r="G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0</x:v>
      </x:c>
      <x:c r="H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2</x:v>
      </x:c>
      <x:c r="I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0</x:v>
      </x:c>
      <x:c r="J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0</x:v>
      </x:c>
      <x:c r="K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0</x:v>
      </x:c>
      <x:c r="L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0</x:v>
      </x:c>
      <x:c r="M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1</x:v>
      </x:c>
      <x:c r="N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2</x:v>
      </x:c>
      <x:c r="O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1</x:v>
      </x:c>
      <x:c r="P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1</x:v>
      </x:c>
      <x:c r="Q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1</x:v>
      </x:c>
      <x:c r="R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1</x:v>
      </x:c>
      <x:c r="S22" s="7" t="n">
        <x:f>IF(INDEX(Net_Effect_Vectors!$B$2:$R$10,MATCH($A22,Net_Effect_Vectors!$A$2:$A$10,0),COLUMN()-2)=INDEX(Net_Effect_Vectors!$B$2:$R$10,MATCH($B22,Net_Effect_Vectors!$A$2:$A$10,0),COLUMN()-2),0,IF(OR(INDEX(Net_Effect_Vectors!$B$2:$R$10,MATCH($A22,Net_Effect_Vectors!$A$2:$A$10,0),COLUMN()-2)="~",INDEX(Net_Effect_Vectors!$B$2:$R$10,MATCH($B22,Net_Effect_Vectors!$A$2:$A$10,0),COLUMN()-2)="~"),1,2))</x:f>
        <x:v>2</x:v>
      </x:c>
      <x:c r="T22" s="7">
        <x:f t="shared" si="0"/>
        <x:v>12</x:v>
      </x:c>
      <x:c r="U22" s="7">
        <x:f t="shared" si="1"/>
        <x:v>64.7</x:v>
      </x:c>
      <x:c r="V22" s="7" t="str">
        <x:f t="shared" si="2"/>
        <x:v>MODERATE</x:v>
      </x:c>
      <x:c r="W22" s="7" t="s">
        <x:v>61</x:v>
      </x:c>
    </x:row>
    <x:row r="23" ht="15" customHeight="1">
      <x:c r="A23" s="7" t="s">
        <x:v>48</x:v>
      </x:c>
      <x:c r="B23" s="7" t="s">
        <x:v>49</x:v>
      </x:c>
      <x:c r="C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1</x:v>
      </x:c>
      <x:c r="D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E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F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1</x:v>
      </x:c>
      <x:c r="G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H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I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J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K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L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M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N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O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P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Q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R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0</x:v>
      </x:c>
      <x:c r="S23" s="7" t="n">
        <x:f>IF(INDEX(Net_Effect_Vectors!$B$2:$R$10,MATCH($A23,Net_Effect_Vectors!$A$2:$A$10,0),COLUMN()-2)=INDEX(Net_Effect_Vectors!$B$2:$R$10,MATCH($B23,Net_Effect_Vectors!$A$2:$A$10,0),COLUMN()-2),0,IF(OR(INDEX(Net_Effect_Vectors!$B$2:$R$10,MATCH($A23,Net_Effect_Vectors!$A$2:$A$10,0),COLUMN()-2)="~",INDEX(Net_Effect_Vectors!$B$2:$R$10,MATCH($B23,Net_Effect_Vectors!$A$2:$A$10,0),COLUMN()-2)="~"),1,2))</x:f>
        <x:v>1</x:v>
      </x:c>
      <x:c r="T23" s="7">
        <x:f t="shared" si="0"/>
        <x:v>3</x:v>
      </x:c>
      <x:c r="U23" s="7">
        <x:f t="shared" si="1"/>
        <x:v>91.2</x:v>
      </x:c>
      <x:c r="V23" s="7" t="str">
        <x:f t="shared" si="2"/>
        <x:v>HIGH COMPATIBILITY</x:v>
      </x:c>
      <x:c r="W23" s="7" t="s">
        <x:v>60</x:v>
      </x:c>
    </x:row>
    <x:row r="24" ht="15" customHeight="1">
      <x:c r="A24" s="7" t="s">
        <x:v>48</x:v>
      </x:c>
      <x:c r="B24" s="7" t="s">
        <x:v>50</x:v>
      </x:c>
      <x:c r="C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0</x:v>
      </x:c>
      <x:c r="D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0</x:v>
      </x:c>
      <x:c r="E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0</x:v>
      </x:c>
      <x:c r="F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0</x:v>
      </x:c>
      <x:c r="G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0</x:v>
      </x:c>
      <x:c r="H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1</x:v>
      </x:c>
      <x:c r="I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0</x:v>
      </x:c>
      <x:c r="J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1</x:v>
      </x:c>
      <x:c r="K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1</x:v>
      </x:c>
      <x:c r="L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0</x:v>
      </x:c>
      <x:c r="M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2</x:v>
      </x:c>
      <x:c r="N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1</x:v>
      </x:c>
      <x:c r="O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0</x:v>
      </x:c>
      <x:c r="P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2</x:v>
      </x:c>
      <x:c r="Q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2</x:v>
      </x:c>
      <x:c r="R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2</x:v>
      </x:c>
      <x:c r="S24" s="7" t="n">
        <x:f>IF(INDEX(Net_Effect_Vectors!$B$2:$R$10,MATCH($A24,Net_Effect_Vectors!$A$2:$A$10,0),COLUMN()-2)=INDEX(Net_Effect_Vectors!$B$2:$R$10,MATCH($B24,Net_Effect_Vectors!$A$2:$A$10,0),COLUMN()-2),0,IF(OR(INDEX(Net_Effect_Vectors!$B$2:$R$10,MATCH($A24,Net_Effect_Vectors!$A$2:$A$10,0),COLUMN()-2)="~",INDEX(Net_Effect_Vectors!$B$2:$R$10,MATCH($B24,Net_Effect_Vectors!$A$2:$A$10,0),COLUMN()-2)="~"),1,2))</x:f>
        <x:v>2</x:v>
      </x:c>
      <x:c r="T24" s="7">
        <x:f t="shared" si="0"/>
        <x:v>14</x:v>
      </x:c>
      <x:c r="U24" s="7">
        <x:f t="shared" si="1"/>
        <x:v>58.8</x:v>
      </x:c>
      <x:c r="V24" s="7" t="str">
        <x:f t="shared" si="2"/>
        <x:v>MODERATE</x:v>
      </x:c>
      <x:c r="W24" s="7" t="s">
        <x:v>60</x:v>
      </x:c>
    </x:row>
    <x:row r="25" ht="15" customHeight="1">
      <x:c r="A25" s="7" t="s">
        <x:v>48</x:v>
      </x:c>
      <x:c r="B25" s="7" t="s">
        <x:v>51</x:v>
      </x:c>
      <x:c r="C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2</x:v>
      </x:c>
      <x:c r="D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1</x:v>
      </x:c>
      <x:c r="E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2</x:v>
      </x:c>
      <x:c r="F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2</x:v>
      </x:c>
      <x:c r="G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2</x:v>
      </x:c>
      <x:c r="H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1</x:v>
      </x:c>
      <x:c r="I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2</x:v>
      </x:c>
      <x:c r="J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2</x:v>
      </x:c>
      <x:c r="K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1</x:v>
      </x:c>
      <x:c r="L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2</x:v>
      </x:c>
      <x:c r="M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2</x:v>
      </x:c>
      <x:c r="N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1</x:v>
      </x:c>
      <x:c r="O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2</x:v>
      </x:c>
      <x:c r="P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2</x:v>
      </x:c>
      <x:c r="Q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2</x:v>
      </x:c>
      <x:c r="R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2</x:v>
      </x:c>
      <x:c r="S25" s="7" t="n">
        <x:f>IF(INDEX(Net_Effect_Vectors!$B$2:$R$10,MATCH($A25,Net_Effect_Vectors!$A$2:$A$10,0),COLUMN()-2)=INDEX(Net_Effect_Vectors!$B$2:$R$10,MATCH($B25,Net_Effect_Vectors!$A$2:$A$10,0),COLUMN()-2),0,IF(OR(INDEX(Net_Effect_Vectors!$B$2:$R$10,MATCH($A25,Net_Effect_Vectors!$A$2:$A$10,0),COLUMN()-2)="~",INDEX(Net_Effect_Vectors!$B$2:$R$10,MATCH($B25,Net_Effect_Vectors!$A$2:$A$10,0),COLUMN()-2)="~"),1,2))</x:f>
        <x:v>1</x:v>
      </x:c>
      <x:c r="T25" s="7">
        <x:f t="shared" si="0"/>
        <x:v>29</x:v>
      </x:c>
      <x:c r="U25" s="7">
        <x:f t="shared" si="1"/>
        <x:v>14.7</x:v>
      </x:c>
      <x:c r="V25" s="7" t="str">
        <x:f t="shared" si="2"/>
        <x:v>HIGH RISK</x:v>
      </x:c>
      <x:c r="W25" s="7" t="s">
        <x:v>60</x:v>
      </x:c>
    </x:row>
    <x:row r="26" ht="15" customHeight="1">
      <x:c r="A26" s="7" t="s">
        <x:v>48</x:v>
      </x:c>
      <x:c r="B26" s="7" t="s">
        <x:v>52</x:v>
      </x:c>
      <x:c r="C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1</x:v>
      </x:c>
      <x:c r="D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0</x:v>
      </x:c>
      <x:c r="E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1</x:v>
      </x:c>
      <x:c r="F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0</x:v>
      </x:c>
      <x:c r="G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0</x:v>
      </x:c>
      <x:c r="H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1</x:v>
      </x:c>
      <x:c r="I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0</x:v>
      </x:c>
      <x:c r="J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1</x:v>
      </x:c>
      <x:c r="K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0</x:v>
      </x:c>
      <x:c r="L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0</x:v>
      </x:c>
      <x:c r="M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2</x:v>
      </x:c>
      <x:c r="N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0</x:v>
      </x:c>
      <x:c r="O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1</x:v>
      </x:c>
      <x:c r="P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0</x:v>
      </x:c>
      <x:c r="Q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1</x:v>
      </x:c>
      <x:c r="R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0</x:v>
      </x:c>
      <x:c r="S26" s="7" t="n">
        <x:f>IF(INDEX(Net_Effect_Vectors!$B$2:$R$10,MATCH($A26,Net_Effect_Vectors!$A$2:$A$10,0),COLUMN()-2)=INDEX(Net_Effect_Vectors!$B$2:$R$10,MATCH($B26,Net_Effect_Vectors!$A$2:$A$10,0),COLUMN()-2),0,IF(OR(INDEX(Net_Effect_Vectors!$B$2:$R$10,MATCH($A26,Net_Effect_Vectors!$A$2:$A$10,0),COLUMN()-2)="~",INDEX(Net_Effect_Vectors!$B$2:$R$10,MATCH($B26,Net_Effect_Vectors!$A$2:$A$10,0),COLUMN()-2)="~"),1,2))</x:f>
        <x:v>0</x:v>
      </x:c>
      <x:c r="T26" s="7">
        <x:f t="shared" si="0"/>
        <x:v>8</x:v>
      </x:c>
      <x:c r="U26" s="7">
        <x:f t="shared" si="1"/>
        <x:v>76.5</x:v>
      </x:c>
      <x:c r="V26" s="7" t="str">
        <x:f t="shared" si="2"/>
        <x:v>MODERATE-HIGH</x:v>
      </x:c>
      <x:c r="W26" s="7" t="s">
        <x:v>60</x:v>
      </x:c>
    </x:row>
    <x:row r="27" ht="15" customHeight="1">
      <x:c r="A27" s="7" t="s">
        <x:v>48</x:v>
      </x:c>
      <x:c r="B27" s="7" t="s">
        <x:v>53</x:v>
      </x:c>
      <x:c r="C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1</x:v>
      </x:c>
      <x:c r="D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0</x:v>
      </x:c>
      <x:c r="E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0</x:v>
      </x:c>
      <x:c r="F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0</x:v>
      </x:c>
      <x:c r="G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0</x:v>
      </x:c>
      <x:c r="H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1</x:v>
      </x:c>
      <x:c r="I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0</x:v>
      </x:c>
      <x:c r="J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1</x:v>
      </x:c>
      <x:c r="K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1</x:v>
      </x:c>
      <x:c r="L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0</x:v>
      </x:c>
      <x:c r="M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2</x:v>
      </x:c>
      <x:c r="N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1</x:v>
      </x:c>
      <x:c r="O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1</x:v>
      </x:c>
      <x:c r="P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0</x:v>
      </x:c>
      <x:c r="Q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1</x:v>
      </x:c>
      <x:c r="R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0</x:v>
      </x:c>
      <x:c r="S27" s="7" t="n">
        <x:f>IF(INDEX(Net_Effect_Vectors!$B$2:$R$10,MATCH($A27,Net_Effect_Vectors!$A$2:$A$10,0),COLUMN()-2)=INDEX(Net_Effect_Vectors!$B$2:$R$10,MATCH($B27,Net_Effect_Vectors!$A$2:$A$10,0),COLUMN()-2),0,IF(OR(INDEX(Net_Effect_Vectors!$B$2:$R$10,MATCH($A27,Net_Effect_Vectors!$A$2:$A$10,0),COLUMN()-2)="~",INDEX(Net_Effect_Vectors!$B$2:$R$10,MATCH($B27,Net_Effect_Vectors!$A$2:$A$10,0),COLUMN()-2)="~"),1,2))</x:f>
        <x:v>0</x:v>
      </x:c>
      <x:c r="T27" s="7">
        <x:f t="shared" si="0"/>
        <x:v>9</x:v>
      </x:c>
      <x:c r="U27" s="7">
        <x:f t="shared" si="1"/>
        <x:v>73.5</x:v>
      </x:c>
      <x:c r="V27" s="7" t="str">
        <x:f t="shared" si="2"/>
        <x:v>MODERATE-HIGH</x:v>
      </x:c>
      <x:c r="W27" s="7" t="s">
        <x:v>61</x:v>
      </x:c>
    </x:row>
    <x:row r="28" ht="15" customHeight="1">
      <x:c r="A28" s="7" t="s">
        <x:v>49</x:v>
      </x:c>
      <x:c r="B28" s="7" t="s">
        <x:v>50</x:v>
      </x:c>
      <x:c r="C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1</x:v>
      </x:c>
      <x:c r="D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0</x:v>
      </x:c>
      <x:c r="E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0</x:v>
      </x:c>
      <x:c r="F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1</x:v>
      </x:c>
      <x:c r="G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0</x:v>
      </x:c>
      <x:c r="H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1</x:v>
      </x:c>
      <x:c r="I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0</x:v>
      </x:c>
      <x:c r="J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1</x:v>
      </x:c>
      <x:c r="K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1</x:v>
      </x:c>
      <x:c r="L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0</x:v>
      </x:c>
      <x:c r="M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2</x:v>
      </x:c>
      <x:c r="N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1</x:v>
      </x:c>
      <x:c r="O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0</x:v>
      </x:c>
      <x:c r="P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2</x:v>
      </x:c>
      <x:c r="Q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2</x:v>
      </x:c>
      <x:c r="R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2</x:v>
      </x:c>
      <x:c r="S28" s="7" t="n">
        <x:f>IF(INDEX(Net_Effect_Vectors!$B$2:$R$10,MATCH($A28,Net_Effect_Vectors!$A$2:$A$10,0),COLUMN()-2)=INDEX(Net_Effect_Vectors!$B$2:$R$10,MATCH($B28,Net_Effect_Vectors!$A$2:$A$10,0),COLUMN()-2),0,IF(OR(INDEX(Net_Effect_Vectors!$B$2:$R$10,MATCH($A28,Net_Effect_Vectors!$A$2:$A$10,0),COLUMN()-2)="~",INDEX(Net_Effect_Vectors!$B$2:$R$10,MATCH($B28,Net_Effect_Vectors!$A$2:$A$10,0),COLUMN()-2)="~"),1,2))</x:f>
        <x:v>1</x:v>
      </x:c>
      <x:c r="T28" s="7">
        <x:f t="shared" si="0"/>
        <x:v>15</x:v>
      </x:c>
      <x:c r="U28" s="7">
        <x:f t="shared" si="1"/>
        <x:v>55.9</x:v>
      </x:c>
      <x:c r="V28" s="7" t="str">
        <x:f t="shared" si="2"/>
        <x:v>MODERATE</x:v>
      </x:c>
      <x:c r="W28" s="7" t="s">
        <x:v>60</x:v>
      </x:c>
    </x:row>
    <x:row r="29" ht="15" customHeight="1">
      <x:c r="A29" s="7" t="s">
        <x:v>49</x:v>
      </x:c>
      <x:c r="B29" s="7" t="s">
        <x:v>51</x:v>
      </x:c>
      <x:c r="C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1</x:v>
      </x:c>
      <x:c r="D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1</x:v>
      </x:c>
      <x:c r="E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2</x:v>
      </x:c>
      <x:c r="F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1</x:v>
      </x:c>
      <x:c r="G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2</x:v>
      </x:c>
      <x:c r="H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1</x:v>
      </x:c>
      <x:c r="I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2</x:v>
      </x:c>
      <x:c r="J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2</x:v>
      </x:c>
      <x:c r="K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1</x:v>
      </x:c>
      <x:c r="L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2</x:v>
      </x:c>
      <x:c r="M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2</x:v>
      </x:c>
      <x:c r="N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1</x:v>
      </x:c>
      <x:c r="O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2</x:v>
      </x:c>
      <x:c r="P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2</x:v>
      </x:c>
      <x:c r="Q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2</x:v>
      </x:c>
      <x:c r="R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2</x:v>
      </x:c>
      <x:c r="S29" s="7" t="n">
        <x:f>IF(INDEX(Net_Effect_Vectors!$B$2:$R$10,MATCH($A29,Net_Effect_Vectors!$A$2:$A$10,0),COLUMN()-2)=INDEX(Net_Effect_Vectors!$B$2:$R$10,MATCH($B29,Net_Effect_Vectors!$A$2:$A$10,0),COLUMN()-2),0,IF(OR(INDEX(Net_Effect_Vectors!$B$2:$R$10,MATCH($A29,Net_Effect_Vectors!$A$2:$A$10,0),COLUMN()-2)="~",INDEX(Net_Effect_Vectors!$B$2:$R$10,MATCH($B29,Net_Effect_Vectors!$A$2:$A$10,0),COLUMN()-2)="~"),1,2))</x:f>
        <x:v>0</x:v>
      </x:c>
      <x:c r="T29" s="7">
        <x:f t="shared" si="0"/>
        <x:v>26</x:v>
      </x:c>
      <x:c r="U29" s="7">
        <x:f t="shared" si="1"/>
        <x:v>23.5</x:v>
      </x:c>
      <x:c r="V29" s="7" t="str">
        <x:f t="shared" si="2"/>
        <x:v>HIGH RISK</x:v>
      </x:c>
      <x:c r="W29" s="7" t="s">
        <x:v>60</x:v>
      </x:c>
    </x:row>
    <x:row r="30" ht="15" customHeight="1">
      <x:c r="A30" s="7" t="s">
        <x:v>49</x:v>
      </x:c>
      <x:c r="B30" s="7" t="s">
        <x:v>52</x:v>
      </x:c>
      <x:c r="C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0</x:v>
      </x:c>
      <x:c r="D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0</x:v>
      </x:c>
      <x:c r="E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1</x:v>
      </x:c>
      <x:c r="F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1</x:v>
      </x:c>
      <x:c r="G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0</x:v>
      </x:c>
      <x:c r="H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1</x:v>
      </x:c>
      <x:c r="I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0</x:v>
      </x:c>
      <x:c r="J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1</x:v>
      </x:c>
      <x:c r="K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0</x:v>
      </x:c>
      <x:c r="L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0</x:v>
      </x:c>
      <x:c r="M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2</x:v>
      </x:c>
      <x:c r="N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0</x:v>
      </x:c>
      <x:c r="O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1</x:v>
      </x:c>
      <x:c r="P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0</x:v>
      </x:c>
      <x:c r="Q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1</x:v>
      </x:c>
      <x:c r="R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0</x:v>
      </x:c>
      <x:c r="S30" s="7" t="n">
        <x:f>IF(INDEX(Net_Effect_Vectors!$B$2:$R$10,MATCH($A30,Net_Effect_Vectors!$A$2:$A$10,0),COLUMN()-2)=INDEX(Net_Effect_Vectors!$B$2:$R$10,MATCH($B30,Net_Effect_Vectors!$A$2:$A$10,0),COLUMN()-2),0,IF(OR(INDEX(Net_Effect_Vectors!$B$2:$R$10,MATCH($A30,Net_Effect_Vectors!$A$2:$A$10,0),COLUMN()-2)="~",INDEX(Net_Effect_Vectors!$B$2:$R$10,MATCH($B30,Net_Effect_Vectors!$A$2:$A$10,0),COLUMN()-2)="~"),1,2))</x:f>
        <x:v>1</x:v>
      </x:c>
      <x:c r="T30" s="7">
        <x:f t="shared" si="0"/>
        <x:v>9</x:v>
      </x:c>
      <x:c r="U30" s="7">
        <x:f t="shared" si="1"/>
        <x:v>73.5</x:v>
      </x:c>
      <x:c r="V30" s="7" t="str">
        <x:f t="shared" si="2"/>
        <x:v>MODERATE-HIGH</x:v>
      </x:c>
      <x:c r="W30" s="7" t="s">
        <x:v>60</x:v>
      </x:c>
    </x:row>
    <x:row r="31" ht="15" customHeight="1">
      <x:c r="A31" s="7" t="s">
        <x:v>49</x:v>
      </x:c>
      <x:c r="B31" s="7" t="s">
        <x:v>53</x:v>
      </x:c>
      <x:c r="C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0</x:v>
      </x:c>
      <x:c r="D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0</x:v>
      </x:c>
      <x:c r="E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0</x:v>
      </x:c>
      <x:c r="F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1</x:v>
      </x:c>
      <x:c r="G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0</x:v>
      </x:c>
      <x:c r="H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1</x:v>
      </x:c>
      <x:c r="I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0</x:v>
      </x:c>
      <x:c r="J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1</x:v>
      </x:c>
      <x:c r="K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1</x:v>
      </x:c>
      <x:c r="L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0</x:v>
      </x:c>
      <x:c r="M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2</x:v>
      </x:c>
      <x:c r="N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1</x:v>
      </x:c>
      <x:c r="O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1</x:v>
      </x:c>
      <x:c r="P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0</x:v>
      </x:c>
      <x:c r="Q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1</x:v>
      </x:c>
      <x:c r="R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0</x:v>
      </x:c>
      <x:c r="S31" s="7" t="n">
        <x:f>IF(INDEX(Net_Effect_Vectors!$B$2:$R$10,MATCH($A31,Net_Effect_Vectors!$A$2:$A$10,0),COLUMN()-2)=INDEX(Net_Effect_Vectors!$B$2:$R$10,MATCH($B31,Net_Effect_Vectors!$A$2:$A$10,0),COLUMN()-2),0,IF(OR(INDEX(Net_Effect_Vectors!$B$2:$R$10,MATCH($A31,Net_Effect_Vectors!$A$2:$A$10,0),COLUMN()-2)="~",INDEX(Net_Effect_Vectors!$B$2:$R$10,MATCH($B31,Net_Effect_Vectors!$A$2:$A$10,0),COLUMN()-2)="~"),1,2))</x:f>
        <x:v>1</x:v>
      </x:c>
      <x:c r="T31" s="7">
        <x:f t="shared" si="0"/>
        <x:v>10</x:v>
      </x:c>
      <x:c r="U31" s="7">
        <x:f t="shared" si="1"/>
        <x:v>70.599999999999994</x:v>
      </x:c>
      <x:c r="V31" s="7" t="str">
        <x:f t="shared" si="2"/>
        <x:v>MODERATE-HIGH</x:v>
      </x:c>
      <x:c r="W31" s="7" t="s">
        <x:v>61</x:v>
      </x:c>
    </x:row>
    <x:row r="32" ht="15" customHeight="1">
      <x:c r="A32" s="7" t="s">
        <x:v>50</x:v>
      </x:c>
      <x:c r="B32" s="7" t="s">
        <x:v>51</x:v>
      </x:c>
      <x:c r="C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2</x:v>
      </x:c>
      <x:c r="D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1</x:v>
      </x:c>
      <x:c r="E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2</x:v>
      </x:c>
      <x:c r="F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2</x:v>
      </x:c>
      <x:c r="G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2</x:v>
      </x:c>
      <x:c r="H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2</x:v>
      </x:c>
      <x:c r="I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2</x:v>
      </x:c>
      <x:c r="J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1</x:v>
      </x:c>
      <x:c r="K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2</x:v>
      </x:c>
      <x:c r="L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2</x:v>
      </x:c>
      <x:c r="M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0</x:v>
      </x:c>
      <x:c r="N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2</x:v>
      </x:c>
      <x:c r="O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2</x:v>
      </x:c>
      <x:c r="P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0</x:v>
      </x:c>
      <x:c r="Q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0</x:v>
      </x:c>
      <x:c r="R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0</x:v>
      </x:c>
      <x:c r="S32" s="7" t="n">
        <x:f>IF(INDEX(Net_Effect_Vectors!$B$2:$R$10,MATCH($A32,Net_Effect_Vectors!$A$2:$A$10,0),COLUMN()-2)=INDEX(Net_Effect_Vectors!$B$2:$R$10,MATCH($B32,Net_Effect_Vectors!$A$2:$A$10,0),COLUMN()-2),0,IF(OR(INDEX(Net_Effect_Vectors!$B$2:$R$10,MATCH($A32,Net_Effect_Vectors!$A$2:$A$10,0),COLUMN()-2)="~",INDEX(Net_Effect_Vectors!$B$2:$R$10,MATCH($B32,Net_Effect_Vectors!$A$2:$A$10,0),COLUMN()-2)="~"),1,2))</x:f>
        <x:v>1</x:v>
      </x:c>
      <x:c r="T32" s="7">
        <x:f t="shared" si="0"/>
        <x:v>23</x:v>
      </x:c>
      <x:c r="U32" s="7">
        <x:f t="shared" si="1"/>
        <x:v>32.4</x:v>
      </x:c>
      <x:c r="V32" s="7" t="str">
        <x:f t="shared" si="2"/>
        <x:v>HIGH RISK</x:v>
      </x:c>
      <x:c r="W32" s="7" t="s">
        <x:v>60</x:v>
      </x:c>
    </x:row>
    <x:row r="33" ht="15" customHeight="1">
      <x:c r="A33" s="7" t="s">
        <x:v>50</x:v>
      </x:c>
      <x:c r="B33" s="7" t="s">
        <x:v>52</x:v>
      </x:c>
      <x:c r="C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1</x:v>
      </x:c>
      <x:c r="D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0</x:v>
      </x:c>
      <x:c r="E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1</x:v>
      </x:c>
      <x:c r="F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0</x:v>
      </x:c>
      <x:c r="G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0</x:v>
      </x:c>
      <x:c r="H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2</x:v>
      </x:c>
      <x:c r="I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0</x:v>
      </x:c>
      <x:c r="J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0</x:v>
      </x:c>
      <x:c r="K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1</x:v>
      </x:c>
      <x:c r="L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0</x:v>
      </x:c>
      <x:c r="M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0</x:v>
      </x:c>
      <x:c r="N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1</x:v>
      </x:c>
      <x:c r="O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1</x:v>
      </x:c>
      <x:c r="P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2</x:v>
      </x:c>
      <x:c r="Q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1</x:v>
      </x:c>
      <x:c r="R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2</x:v>
      </x:c>
      <x:c r="S33" s="7" t="n">
        <x:f>IF(INDEX(Net_Effect_Vectors!$B$2:$R$10,MATCH($A33,Net_Effect_Vectors!$A$2:$A$10,0),COLUMN()-2)=INDEX(Net_Effect_Vectors!$B$2:$R$10,MATCH($B33,Net_Effect_Vectors!$A$2:$A$10,0),COLUMN()-2),0,IF(OR(INDEX(Net_Effect_Vectors!$B$2:$R$10,MATCH($A33,Net_Effect_Vectors!$A$2:$A$10,0),COLUMN()-2)="~",INDEX(Net_Effect_Vectors!$B$2:$R$10,MATCH($B33,Net_Effect_Vectors!$A$2:$A$10,0),COLUMN()-2)="~"),1,2))</x:f>
        <x:v>2</x:v>
      </x:c>
      <x:c r="T33" s="7">
        <x:f t="shared" si="0"/>
        <x:v>14</x:v>
      </x:c>
      <x:c r="U33" s="7">
        <x:f t="shared" si="1"/>
        <x:v>58.8</x:v>
      </x:c>
      <x:c r="V33" s="7" t="str">
        <x:f t="shared" si="2"/>
        <x:v>MODERATE</x:v>
      </x:c>
      <x:c r="W33" s="7" t="s">
        <x:v>60</x:v>
      </x:c>
    </x:row>
    <x:row r="34" ht="15" customHeight="1">
      <x:c r="A34" s="7" t="s">
        <x:v>50</x:v>
      </x:c>
      <x:c r="B34" s="7" t="s">
        <x:v>53</x:v>
      </x:c>
      <x:c r="C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1</x:v>
      </x:c>
      <x:c r="D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0</x:v>
      </x:c>
      <x:c r="E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0</x:v>
      </x:c>
      <x:c r="F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0</x:v>
      </x:c>
      <x:c r="G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0</x:v>
      </x:c>
      <x:c r="H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2</x:v>
      </x:c>
      <x:c r="I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0</x:v>
      </x:c>
      <x:c r="J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0</x:v>
      </x:c>
      <x:c r="K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0</x:v>
      </x:c>
      <x:c r="L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0</x:v>
      </x:c>
      <x:c r="M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0</x:v>
      </x:c>
      <x:c r="N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2</x:v>
      </x:c>
      <x:c r="O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1</x:v>
      </x:c>
      <x:c r="P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2</x:v>
      </x:c>
      <x:c r="Q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1</x:v>
      </x:c>
      <x:c r="R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2</x:v>
      </x:c>
      <x:c r="S34" s="7" t="n">
        <x:f>IF(INDEX(Net_Effect_Vectors!$B$2:$R$10,MATCH($A34,Net_Effect_Vectors!$A$2:$A$10,0),COLUMN()-2)=INDEX(Net_Effect_Vectors!$B$2:$R$10,MATCH($B34,Net_Effect_Vectors!$A$2:$A$10,0),COLUMN()-2),0,IF(OR(INDEX(Net_Effect_Vectors!$B$2:$R$10,MATCH($A34,Net_Effect_Vectors!$A$2:$A$10,0),COLUMN()-2)="~",INDEX(Net_Effect_Vectors!$B$2:$R$10,MATCH($B34,Net_Effect_Vectors!$A$2:$A$10,0),COLUMN()-2)="~"),1,2))</x:f>
        <x:v>2</x:v>
      </x:c>
      <x:c r="T34" s="7">
        <x:f t="shared" si="0"/>
        <x:v>13</x:v>
      </x:c>
      <x:c r="U34" s="7">
        <x:f t="shared" si="1"/>
        <x:v>61.8</x:v>
      </x:c>
      <x:c r="V34" s="7" t="str">
        <x:f t="shared" si="2"/>
        <x:v>MODERATE</x:v>
      </x:c>
      <x:c r="W34" s="7" t="s">
        <x:v>61</x:v>
      </x:c>
    </x:row>
    <x:row r="35" ht="15" customHeight="1">
      <x:c r="A35" s="7" t="s">
        <x:v>51</x:v>
      </x:c>
      <x:c r="B35" s="7" t="s">
        <x:v>52</x:v>
      </x:c>
      <x:c r="C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1</x:v>
      </x:c>
      <x:c r="D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1</x:v>
      </x:c>
      <x:c r="E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1</x:v>
      </x:c>
      <x:c r="F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2</x:v>
      </x:c>
      <x:c r="G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2</x:v>
      </x:c>
      <x:c r="H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0</x:v>
      </x:c>
      <x:c r="I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2</x:v>
      </x:c>
      <x:c r="J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1</x:v>
      </x:c>
      <x:c r="K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1</x:v>
      </x:c>
      <x:c r="L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2</x:v>
      </x:c>
      <x:c r="M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0</x:v>
      </x:c>
      <x:c r="N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1</x:v>
      </x:c>
      <x:c r="O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1</x:v>
      </x:c>
      <x:c r="P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2</x:v>
      </x:c>
      <x:c r="Q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1</x:v>
      </x:c>
      <x:c r="R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2</x:v>
      </x:c>
      <x:c r="S35" s="7" t="n">
        <x:f>IF(INDEX(Net_Effect_Vectors!$B$2:$R$10,MATCH($A35,Net_Effect_Vectors!$A$2:$A$10,0),COLUMN()-2)=INDEX(Net_Effect_Vectors!$B$2:$R$10,MATCH($B35,Net_Effect_Vectors!$A$2:$A$10,0),COLUMN()-2),0,IF(OR(INDEX(Net_Effect_Vectors!$B$2:$R$10,MATCH($A35,Net_Effect_Vectors!$A$2:$A$10,0),COLUMN()-2)="~",INDEX(Net_Effect_Vectors!$B$2:$R$10,MATCH($B35,Net_Effect_Vectors!$A$2:$A$10,0),COLUMN()-2)="~"),1,2))</x:f>
        <x:v>1</x:v>
      </x:c>
      <x:c r="T35" s="7">
        <x:f t="shared" si="0"/>
        <x:v>21</x:v>
      </x:c>
      <x:c r="U35" s="7">
        <x:f t="shared" si="1"/>
        <x:v>38.200000000000003</x:v>
      </x:c>
      <x:c r="V35" s="7" t="str">
        <x:f t="shared" si="2"/>
        <x:v>MODERATE-LOW</x:v>
      </x:c>
      <x:c r="W35" s="7" t="s">
        <x:v>60</x:v>
      </x:c>
    </x:row>
    <x:row r="36" ht="15" customHeight="1">
      <x:c r="A36" s="7" t="s">
        <x:v>51</x:v>
      </x:c>
      <x:c r="B36" s="7" t="s">
        <x:v>53</x:v>
      </x:c>
      <x:c r="C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1</x:v>
      </x:c>
      <x:c r="D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1</x:v>
      </x:c>
      <x:c r="E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2</x:v>
      </x:c>
      <x:c r="F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2</x:v>
      </x:c>
      <x:c r="G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2</x:v>
      </x:c>
      <x:c r="H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0</x:v>
      </x:c>
      <x:c r="I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2</x:v>
      </x:c>
      <x:c r="J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1</x:v>
      </x:c>
      <x:c r="K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2</x:v>
      </x:c>
      <x:c r="L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2</x:v>
      </x:c>
      <x:c r="M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0</x:v>
      </x:c>
      <x:c r="N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0</x:v>
      </x:c>
      <x:c r="O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1</x:v>
      </x:c>
      <x:c r="P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2</x:v>
      </x:c>
      <x:c r="Q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1</x:v>
      </x:c>
      <x:c r="R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2</x:v>
      </x:c>
      <x:c r="S36" s="7" t="n">
        <x:f>IF(INDEX(Net_Effect_Vectors!$B$2:$R$10,MATCH($A36,Net_Effect_Vectors!$A$2:$A$10,0),COLUMN()-2)=INDEX(Net_Effect_Vectors!$B$2:$R$10,MATCH($B36,Net_Effect_Vectors!$A$2:$A$10,0),COLUMN()-2),0,IF(OR(INDEX(Net_Effect_Vectors!$B$2:$R$10,MATCH($A36,Net_Effect_Vectors!$A$2:$A$10,0),COLUMN()-2)="~",INDEX(Net_Effect_Vectors!$B$2:$R$10,MATCH($B36,Net_Effect_Vectors!$A$2:$A$10,0),COLUMN()-2)="~"),1,2))</x:f>
        <x:v>1</x:v>
      </x:c>
      <x:c r="T36" s="7">
        <x:f t="shared" si="0"/>
        <x:v>22</x:v>
      </x:c>
      <x:c r="U36" s="7">
        <x:f t="shared" si="1"/>
        <x:v>35.299999999999997</x:v>
      </x:c>
      <x:c r="V36" s="7" t="str">
        <x:f t="shared" si="2"/>
        <x:v>MODERATE-LOW</x:v>
      </x:c>
      <x:c r="W36" s="7" t="s">
        <x:v>61</x:v>
      </x:c>
    </x:row>
    <x:row r="37" ht="15" customHeight="1">
      <x:c r="A37" s="7" t="s">
        <x:v>52</x:v>
      </x:c>
      <x:c r="B37" s="7" t="s">
        <x:v>53</x:v>
      </x:c>
      <x:c r="C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D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E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1</x:v>
      </x:c>
      <x:c r="F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G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H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I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J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K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1</x:v>
      </x:c>
      <x:c r="L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M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N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1</x:v>
      </x:c>
      <x:c r="O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P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Q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R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S37" s="7" t="n">
        <x:f>IF(INDEX(Net_Effect_Vectors!$B$2:$R$10,MATCH($A37,Net_Effect_Vectors!$A$2:$A$10,0),COLUMN()-2)=INDEX(Net_Effect_Vectors!$B$2:$R$10,MATCH($B37,Net_Effect_Vectors!$A$2:$A$10,0),COLUMN()-2),0,IF(OR(INDEX(Net_Effect_Vectors!$B$2:$R$10,MATCH($A37,Net_Effect_Vectors!$A$2:$A$10,0),COLUMN()-2)="~",INDEX(Net_Effect_Vectors!$B$2:$R$10,MATCH($B37,Net_Effect_Vectors!$A$2:$A$10,0),COLUMN()-2)="~"),1,2))</x:f>
        <x:v>0</x:v>
      </x:c>
      <x:c r="T37" s="7">
        <x:f t="shared" si="0"/>
        <x:v>3</x:v>
      </x:c>
      <x:c r="U37" s="7">
        <x:f t="shared" si="1"/>
        <x:v>91.2</x:v>
      </x:c>
      <x:c r="V37" s="7" t="str">
        <x:f t="shared" si="2"/>
        <x:v>HIGH COMPATIBILITY</x:v>
      </x:c>
      <x:c r="W37" s="7" t="s">
        <x:v>61</x:v>
      </x:c>
    </x:row>
    <x:row r="39" ht="15" customHeight="1">
      <x:c r="A39" s="7" t="s">
        <x:v>62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8.7109375" defaultRowHeight="15"/>
  <x:cols>
    <x:col min="1" max="2" width="14" style="1" customWidth="1"/>
    <x:col min="3" max="3" width="40" style="1" customWidth="1"/>
    <x:col min="4" max="6" width="14" style="1" customWidth="1"/>
  </x:cols>
  <x:sheetData>
    <x:row r="1" ht="39" customHeight="1">
      <x:c r="A1" s="6" t="s">
        <x:v>55</x:v>
      </x:c>
      <x:c r="B1" s="6" t="s">
        <x:v>56</x:v>
      </x:c>
      <x:c r="C1" s="6" t="s">
        <x:v>63</x:v>
      </x:c>
      <x:c r="D1" s="6" t="s">
        <x:v>64</x:v>
      </x:c>
      <x:c r="E1" s="6" t="s">
        <x:v>65</x:v>
      </x:c>
      <x:c r="F1" s="6" t="s">
        <x:v>66</x:v>
      </x:c>
    </x:row>
    <x:row r="2" ht="15" customHeight="1">
      <x:c r="A2" s="7" t="s">
        <x:v>42</x:v>
      </x:c>
      <x:c r="B2" s="7" t="s">
        <x:v>45</x:v>
      </x:c>
      <x:c r="C2" s="9">
        <x:v>17.600000000000001</x:v>
      </x:c>
      <x:c r="D2" s="10" t="n">
        <x:f>Pair_Computation!U2</x:f>
        <x:v>17.6</x:v>
      </x:c>
      <x:c r="E2" s="7" t="n">
        <x:f t="shared" ref="E2:E29" si="0">ROUND(D2-C2,1)</x:f>
        <x:v>0</x:v>
      </x:c>
      <x:c r="F2" s="7" t="str">
        <x:f t="shared" ref="F2:F29" si="1">IF(E2=0,"PASS","FAIL")</x:f>
        <x:v>PASS</x:v>
      </x:c>
    </x:row>
    <x:row r="3" ht="15" customHeight="1">
      <x:c r="A3" s="7" t="s">
        <x:v>42</x:v>
      </x:c>
      <x:c r="B3" s="7" t="s">
        <x:v>47</x:v>
      </x:c>
      <x:c r="C3" s="9">
        <x:v>82.4</x:v>
      </x:c>
      <x:c r="D3" s="10" t="n">
        <x:f>Pair_Computation!U3</x:f>
        <x:v>82.4</x:v>
      </x:c>
      <x:c r="E3" s="7">
        <x:f t="shared" si="0"/>
        <x:v>0</x:v>
      </x:c>
      <x:c r="F3" s="7" t="str">
        <x:f t="shared" si="1"/>
        <x:v>PASS</x:v>
      </x:c>
    </x:row>
    <x:row r="4" ht="15" customHeight="1">
      <x:c r="A4" s="7" t="s">
        <x:v>42</x:v>
      </x:c>
      <x:c r="B4" s="7" t="s">
        <x:v>48</x:v>
      </x:c>
      <x:c r="C4" s="9">
        <x:v>85.3</x:v>
      </x:c>
      <x:c r="D4" s="10" t="n">
        <x:f>Pair_Computation!U4</x:f>
        <x:v>85.3</x:v>
      </x:c>
      <x:c r="E4" s="7">
        <x:f t="shared" si="0"/>
        <x:v>0</x:v>
      </x:c>
      <x:c r="F4" s="7" t="str">
        <x:f t="shared" si="1"/>
        <x:v>PASS</x:v>
      </x:c>
    </x:row>
    <x:row r="5" ht="15" customHeight="1">
      <x:c r="A5" s="7" t="s">
        <x:v>42</x:v>
      </x:c>
      <x:c r="B5" s="7" t="s">
        <x:v>49</x:v>
      </x:c>
      <x:c r="C5" s="9">
        <x:v>88.2</x:v>
      </x:c>
      <x:c r="D5" s="10" t="n">
        <x:f>Pair_Computation!U5</x:f>
        <x:v>88.2</x:v>
      </x:c>
      <x:c r="E5" s="7">
        <x:f t="shared" si="0"/>
        <x:v>0</x:v>
      </x:c>
      <x:c r="F5" s="7" t="str">
        <x:f t="shared" si="1"/>
        <x:v>PASS</x:v>
      </x:c>
    </x:row>
    <x:row r="6" ht="15" customHeight="1">
      <x:c r="A6" s="7" t="s">
        <x:v>42</x:v>
      </x:c>
      <x:c r="B6" s="7" t="s">
        <x:v>50</x:v>
      </x:c>
      <x:c r="C6" s="9">
        <x:v>67.599999999999994</x:v>
      </x:c>
      <x:c r="D6" s="10" t="n">
        <x:f>Pair_Computation!U6</x:f>
        <x:v>67.6</x:v>
      </x:c>
      <x:c r="E6" s="7">
        <x:f t="shared" si="0"/>
        <x:v>0</x:v>
      </x:c>
      <x:c r="F6" s="7" t="str">
        <x:f t="shared" si="1"/>
        <x:v>PASS</x:v>
      </x:c>
    </x:row>
    <x:row r="7" ht="15" customHeight="1">
      <x:c r="A7" s="7" t="s">
        <x:v>42</x:v>
      </x:c>
      <x:c r="B7" s="7" t="s">
        <x:v>51</x:v>
      </x:c>
      <x:c r="C7" s="9">
        <x:v>17.600000000000001</x:v>
      </x:c>
      <x:c r="D7" s="10" t="n">
        <x:f>Pair_Computation!U7</x:f>
        <x:v>17.6</x:v>
      </x:c>
      <x:c r="E7" s="7">
        <x:f t="shared" si="0"/>
        <x:v>0</x:v>
      </x:c>
      <x:c r="F7" s="7" t="str">
        <x:f t="shared" si="1"/>
        <x:v>PASS</x:v>
      </x:c>
    </x:row>
    <x:row r="8" ht="15" customHeight="1">
      <x:c r="A8" s="7" t="s">
        <x:v>42</x:v>
      </x:c>
      <x:c r="B8" s="7" t="s">
        <x:v>52</x:v>
      </x:c>
      <x:c r="C8" s="9">
        <x:v>61.8</x:v>
      </x:c>
      <x:c r="D8" s="10" t="n">
        <x:f>Pair_Computation!U8</x:f>
        <x:v>61.8</x:v>
      </x:c>
      <x:c r="E8" s="7">
        <x:f t="shared" si="0"/>
        <x:v>0</x:v>
      </x:c>
      <x:c r="F8" s="7" t="str">
        <x:f t="shared" si="1"/>
        <x:v>PASS</x:v>
      </x:c>
    </x:row>
    <x:row r="9" ht="15" customHeight="1">
      <x:c r="A9" s="7" t="s">
        <x:v>45</x:v>
      </x:c>
      <x:c r="B9" s="7" t="s">
        <x:v>47</x:v>
      </x:c>
      <x:c r="C9" s="9">
        <x:v>29.4</x:v>
      </x:c>
      <x:c r="D9" s="10" t="n">
        <x:f>Pair_Computation!U10</x:f>
        <x:v>29.4</x:v>
      </x:c>
      <x:c r="E9" s="7">
        <x:f t="shared" si="0"/>
        <x:v>0</x:v>
      </x:c>
      <x:c r="F9" s="7" t="str">
        <x:f t="shared" si="1"/>
        <x:v>PASS</x:v>
      </x:c>
    </x:row>
    <x:row r="10" ht="15" customHeight="1">
      <x:c r="A10" s="7" t="s">
        <x:v>45</x:v>
      </x:c>
      <x:c r="B10" s="7" t="s">
        <x:v>48</x:v>
      </x:c>
      <x:c r="C10" s="9">
        <x:v>14.7</x:v>
      </x:c>
      <x:c r="D10" s="10" t="n">
        <x:f>Pair_Computation!U11</x:f>
        <x:v>14.7</x:v>
      </x:c>
      <x:c r="E10" s="7">
        <x:f t="shared" si="0"/>
        <x:v>0</x:v>
      </x:c>
      <x:c r="F10" s="7" t="str">
        <x:f t="shared" si="1"/>
        <x:v>PASS</x:v>
      </x:c>
    </x:row>
    <x:row r="11" ht="15" customHeight="1">
      <x:c r="A11" s="7" t="s">
        <x:v>45</x:v>
      </x:c>
      <x:c r="B11" s="7" t="s">
        <x:v>49</x:v>
      </x:c>
      <x:c r="C11" s="9">
        <x:v>23.5</x:v>
      </x:c>
      <x:c r="D11" s="10" t="n">
        <x:f>Pair_Computation!U12</x:f>
        <x:v>23.5</x:v>
      </x:c>
      <x:c r="E11" s="7">
        <x:f t="shared" si="0"/>
        <x:v>0</x:v>
      </x:c>
      <x:c r="F11" s="7" t="str">
        <x:f t="shared" si="1"/>
        <x:v>PASS</x:v>
      </x:c>
    </x:row>
    <x:row r="12" ht="15" customHeight="1">
      <x:c r="A12" s="7" t="s">
        <x:v>45</x:v>
      </x:c>
      <x:c r="B12" s="7" t="s">
        <x:v>50</x:v>
      </x:c>
      <x:c r="C12" s="9">
        <x:v>38.200000000000003</x:v>
      </x:c>
      <x:c r="D12" s="10" t="n">
        <x:f>Pair_Computation!U13</x:f>
        <x:v>38.2</x:v>
      </x:c>
      <x:c r="E12" s="7">
        <x:f t="shared" si="0"/>
        <x:v>0</x:v>
      </x:c>
      <x:c r="F12" s="7" t="str">
        <x:f t="shared" si="1"/>
        <x:v>PASS</x:v>
      </x:c>
    </x:row>
    <x:row r="13" ht="15" customHeight="1">
      <x:c r="A13" s="7" t="s">
        <x:v>45</x:v>
      </x:c>
      <x:c r="B13" s="7" t="s">
        <x:v>51</x:v>
      </x:c>
      <x:c r="C13" s="9">
        <x:v>88.2</x:v>
      </x:c>
      <x:c r="D13" s="10" t="n">
        <x:f>Pair_Computation!U14</x:f>
        <x:v>88.2</x:v>
      </x:c>
      <x:c r="E13" s="7">
        <x:f t="shared" si="0"/>
        <x:v>0</x:v>
      </x:c>
      <x:c r="F13" s="7" t="str">
        <x:f t="shared" si="1"/>
        <x:v>PASS</x:v>
      </x:c>
    </x:row>
    <x:row r="14" ht="15" customHeight="1">
      <x:c r="A14" s="7" t="s">
        <x:v>45</x:v>
      </x:c>
      <x:c r="B14" s="7" t="s">
        <x:v>52</x:v>
      </x:c>
      <x:c r="C14" s="9">
        <x:v>38.200000000000003</x:v>
      </x:c>
      <x:c r="D14" s="10" t="n">
        <x:f>Pair_Computation!U15</x:f>
        <x:v>38.2</x:v>
      </x:c>
      <x:c r="E14" s="7">
        <x:f t="shared" si="0"/>
        <x:v>0</x:v>
      </x:c>
      <x:c r="F14" s="7" t="str">
        <x:f t="shared" si="1"/>
        <x:v>PASS</x:v>
      </x:c>
    </x:row>
    <x:row r="15" ht="15" customHeight="1">
      <x:c r="A15" s="7" t="s">
        <x:v>47</x:v>
      </x:c>
      <x:c r="B15" s="7" t="s">
        <x:v>48</x:v>
      </x:c>
      <x:c r="C15" s="9">
        <x:v>67.599999999999994</x:v>
      </x:c>
      <x:c r="D15" s="10" t="n">
        <x:f>Pair_Computation!U17</x:f>
        <x:v>67.6</x:v>
      </x:c>
      <x:c r="E15" s="7">
        <x:f t="shared" si="0"/>
        <x:v>0</x:v>
      </x:c>
      <x:c r="F15" s="7" t="str">
        <x:f t="shared" si="1"/>
        <x:v>PASS</x:v>
      </x:c>
    </x:row>
    <x:row r="16" ht="15" customHeight="1">
      <x:c r="A16" s="7" t="s">
        <x:v>47</x:v>
      </x:c>
      <x:c r="B16" s="7" t="s">
        <x:v>49</x:v>
      </x:c>
      <x:c r="C16" s="9">
        <x:v>76.5</x:v>
      </x:c>
      <x:c r="D16" s="10" t="n">
        <x:f>Pair_Computation!U18</x:f>
        <x:v>76.5</x:v>
      </x:c>
      <x:c r="E16" s="7">
        <x:f t="shared" si="0"/>
        <x:v>0</x:v>
      </x:c>
      <x:c r="F16" s="7" t="str">
        <x:f t="shared" si="1"/>
        <x:v>PASS</x:v>
      </x:c>
    </x:row>
    <x:row r="17" ht="15" customHeight="1">
      <x:c r="A17" s="7" t="s">
        <x:v>47</x:v>
      </x:c>
      <x:c r="B17" s="7" t="s">
        <x:v>50</x:v>
      </x:c>
      <x:c r="C17" s="9">
        <x:v>79.400000000000006</x:v>
      </x:c>
      <x:c r="D17" s="10" t="n">
        <x:f>Pair_Computation!U19</x:f>
        <x:v>79.4</x:v>
      </x:c>
      <x:c r="E17" s="7">
        <x:f t="shared" si="0"/>
        <x:v>0</x:v>
      </x:c>
      <x:c r="F17" s="7" t="str">
        <x:f t="shared" si="1"/>
        <x:v>PASS</x:v>
      </x:c>
    </x:row>
    <x:row r="18" ht="15" customHeight="1">
      <x:c r="A18" s="7" t="s">
        <x:v>47</x:v>
      </x:c>
      <x:c r="B18" s="7" t="s">
        <x:v>51</x:v>
      </x:c>
      <x:c r="C18" s="9">
        <x:v>23.5</x:v>
      </x:c>
      <x:c r="D18" s="10" t="n">
        <x:f>Pair_Computation!U20</x:f>
        <x:v>23.5</x:v>
      </x:c>
      <x:c r="E18" s="7">
        <x:f t="shared" si="0"/>
        <x:v>0</x:v>
      </x:c>
      <x:c r="F18" s="7" t="str">
        <x:f t="shared" si="1"/>
        <x:v>PASS</x:v>
      </x:c>
    </x:row>
    <x:row r="19" ht="15" customHeight="1">
      <x:c r="A19" s="7" t="s">
        <x:v>47</x:v>
      </x:c>
      <x:c r="B19" s="7" t="s">
        <x:v>52</x:v>
      </x:c>
      <x:c r="C19" s="9">
        <x:v>61.8</x:v>
      </x:c>
      <x:c r="D19" s="10" t="n">
        <x:f>Pair_Computation!U21</x:f>
        <x:v>61.8</x:v>
      </x:c>
      <x:c r="E19" s="7">
        <x:f t="shared" si="0"/>
        <x:v>0</x:v>
      </x:c>
      <x:c r="F19" s="7" t="str">
        <x:f t="shared" si="1"/>
        <x:v>PASS</x:v>
      </x:c>
    </x:row>
    <x:row r="20" ht="15" customHeight="1">
      <x:c r="A20" s="7" t="s">
        <x:v>48</x:v>
      </x:c>
      <x:c r="B20" s="7" t="s">
        <x:v>49</x:v>
      </x:c>
      <x:c r="C20" s="9">
        <x:v>91.2</x:v>
      </x:c>
      <x:c r="D20" s="10" t="n">
        <x:f>Pair_Computation!U23</x:f>
        <x:v>91.2</x:v>
      </x:c>
      <x:c r="E20" s="7">
        <x:f t="shared" si="0"/>
        <x:v>0</x:v>
      </x:c>
      <x:c r="F20" s="7" t="str">
        <x:f t="shared" si="1"/>
        <x:v>PASS</x:v>
      </x:c>
    </x:row>
    <x:row r="21" ht="15" customHeight="1">
      <x:c r="A21" s="7" t="s">
        <x:v>48</x:v>
      </x:c>
      <x:c r="B21" s="7" t="s">
        <x:v>50</x:v>
      </x:c>
      <x:c r="C21" s="9">
        <x:v>58.8</x:v>
      </x:c>
      <x:c r="D21" s="10" t="n">
        <x:f>Pair_Computation!U24</x:f>
        <x:v>58.8</x:v>
      </x:c>
      <x:c r="E21" s="7">
        <x:f t="shared" si="0"/>
        <x:v>0</x:v>
      </x:c>
      <x:c r="F21" s="7" t="str">
        <x:f t="shared" si="1"/>
        <x:v>PASS</x:v>
      </x:c>
    </x:row>
    <x:row r="22" ht="15" customHeight="1">
      <x:c r="A22" s="7" t="s">
        <x:v>48</x:v>
      </x:c>
      <x:c r="B22" s="7" t="s">
        <x:v>51</x:v>
      </x:c>
      <x:c r="C22" s="9">
        <x:v>14.7</x:v>
      </x:c>
      <x:c r="D22" s="10" t="n">
        <x:f>Pair_Computation!U25</x:f>
        <x:v>14.7</x:v>
      </x:c>
      <x:c r="E22" s="7">
        <x:f t="shared" si="0"/>
        <x:v>0</x:v>
      </x:c>
      <x:c r="F22" s="7" t="str">
        <x:f t="shared" si="1"/>
        <x:v>PASS</x:v>
      </x:c>
    </x:row>
    <x:row r="23" ht="15" customHeight="1">
      <x:c r="A23" s="7" t="s">
        <x:v>48</x:v>
      </x:c>
      <x:c r="B23" s="7" t="s">
        <x:v>52</x:v>
      </x:c>
      <x:c r="C23" s="9">
        <x:v>76.5</x:v>
      </x:c>
      <x:c r="D23" s="10" t="n">
        <x:f>Pair_Computation!U26</x:f>
        <x:v>76.5</x:v>
      </x:c>
      <x:c r="E23" s="7">
        <x:f t="shared" si="0"/>
        <x:v>0</x:v>
      </x:c>
      <x:c r="F23" s="7" t="str">
        <x:f t="shared" si="1"/>
        <x:v>PASS</x:v>
      </x:c>
    </x:row>
    <x:row r="24" ht="15" customHeight="1">
      <x:c r="A24" s="7" t="s">
        <x:v>49</x:v>
      </x:c>
      <x:c r="B24" s="7" t="s">
        <x:v>50</x:v>
      </x:c>
      <x:c r="C24" s="9">
        <x:v>55.9</x:v>
      </x:c>
      <x:c r="D24" s="10" t="n">
        <x:f>Pair_Computation!U28</x:f>
        <x:v>55.9</x:v>
      </x:c>
      <x:c r="E24" s="7">
        <x:f t="shared" si="0"/>
        <x:v>0</x:v>
      </x:c>
      <x:c r="F24" s="7" t="str">
        <x:f t="shared" si="1"/>
        <x:v>PASS</x:v>
      </x:c>
    </x:row>
    <x:row r="25" ht="15" customHeight="1">
      <x:c r="A25" s="7" t="s">
        <x:v>49</x:v>
      </x:c>
      <x:c r="B25" s="7" t="s">
        <x:v>51</x:v>
      </x:c>
      <x:c r="C25" s="9">
        <x:v>23.5</x:v>
      </x:c>
      <x:c r="D25" s="10" t="n">
        <x:f>Pair_Computation!U29</x:f>
        <x:v>23.5</x:v>
      </x:c>
      <x:c r="E25" s="7">
        <x:f t="shared" si="0"/>
        <x:v>0</x:v>
      </x:c>
      <x:c r="F25" s="7" t="str">
        <x:f t="shared" si="1"/>
        <x:v>PASS</x:v>
      </x:c>
    </x:row>
    <x:row r="26" ht="15" customHeight="1">
      <x:c r="A26" s="7" t="s">
        <x:v>49</x:v>
      </x:c>
      <x:c r="B26" s="7" t="s">
        <x:v>52</x:v>
      </x:c>
      <x:c r="C26" s="9">
        <x:v>73.5</x:v>
      </x:c>
      <x:c r="D26" s="10" t="n">
        <x:f>Pair_Computation!U30</x:f>
        <x:v>73.5</x:v>
      </x:c>
      <x:c r="E26" s="7">
        <x:f t="shared" si="0"/>
        <x:v>0</x:v>
      </x:c>
      <x:c r="F26" s="7" t="str">
        <x:f t="shared" si="1"/>
        <x:v>PASS</x:v>
      </x:c>
    </x:row>
    <x:row r="27" ht="15" customHeight="1">
      <x:c r="A27" s="7" t="s">
        <x:v>50</x:v>
      </x:c>
      <x:c r="B27" s="7" t="s">
        <x:v>51</x:v>
      </x:c>
      <x:c r="C27" s="9">
        <x:v>32.4</x:v>
      </x:c>
      <x:c r="D27" s="10" t="n">
        <x:f>Pair_Computation!U32</x:f>
        <x:v>32.4</x:v>
      </x:c>
      <x:c r="E27" s="7">
        <x:f t="shared" si="0"/>
        <x:v>0</x:v>
      </x:c>
      <x:c r="F27" s="7" t="str">
        <x:f t="shared" si="1"/>
        <x:v>PASS</x:v>
      </x:c>
    </x:row>
    <x:row r="28" ht="15" customHeight="1">
      <x:c r="A28" s="7" t="s">
        <x:v>50</x:v>
      </x:c>
      <x:c r="B28" s="7" t="s">
        <x:v>52</x:v>
      </x:c>
      <x:c r="C28" s="9">
        <x:v>58.8</x:v>
      </x:c>
      <x:c r="D28" s="10" t="n">
        <x:f>Pair_Computation!U33</x:f>
        <x:v>58.8</x:v>
      </x:c>
      <x:c r="E28" s="7">
        <x:f t="shared" si="0"/>
        <x:v>0</x:v>
      </x:c>
      <x:c r="F28" s="7" t="str">
        <x:f t="shared" si="1"/>
        <x:v>PASS</x:v>
      </x:c>
    </x:row>
    <x:row r="29" ht="15" customHeight="1">
      <x:c r="A29" s="7" t="s">
        <x:v>51</x:v>
      </x:c>
      <x:c r="B29" s="7" t="s">
        <x:v>52</x:v>
      </x:c>
      <x:c r="C29" s="9">
        <x:v>38.200000000000003</x:v>
      </x:c>
      <x:c r="D29" s="10" t="n">
        <x:f>Pair_Computation!U35</x:f>
        <x:v>38.2</x:v>
      </x:c>
      <x:c r="E29" s="7">
        <x:f t="shared" si="0"/>
        <x:v>0</x:v>
      </x:c>
      <x:c r="F29" s="7" t="str">
        <x:f t="shared" si="1"/>
        <x:v>PASS</x:v>
      </x:c>
    </x:row>
    <x:row r="30" ht="15" customHeight="1">
      <x:c r="E30" s="4" t="s">
        <x:v>67</x:v>
      </x:c>
      <x:c r="F30" s="4" t="str">
        <x:f>COUNTIF(F2:F29,"PASS")&amp;" / 28"</x:f>
        <x:v>28 / 28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8.7109375" defaultRowHeight="15"/>
  <x:cols>
    <x:col min="1" max="1" width="34" style="1" customWidth="1"/>
    <x:col min="2" max="2" width="110" style="1" customWidth="1"/>
  </x:cols>
  <x:sheetData>
    <x:row r="1" ht="15" customHeight="1">
      <x:c r="A1" s="2" t="s">
        <x:v>68</x:v>
      </x:c>
      <x:c r="B1" s="3" t="s">
        <x:v>69</x:v>
      </x:c>
    </x:row>
    <x:row r="2" ht="26.25" customHeight="1">
      <x:c r="A2" s="4" t="s">
        <x:v>70</x:v>
      </x:c>
      <x:c r="B2" s="3" t="s">
        <x:v>71</x:v>
      </x:c>
    </x:row>
    <x:row r="3" ht="51.75" customHeight="1">
      <x:c r="A3" s="4" t="s">
        <x:v>72</x:v>
      </x:c>
      <x:c r="B3" s="3" t="s">
        <x:v>73</x:v>
      </x:c>
    </x:row>
    <x:row r="4" ht="26.25" customHeight="1">
      <x:c r="A4" s="4" t="s">
        <x:v>74</x:v>
      </x:c>
      <x:c r="B4" s="3" t="s">
        <x:v>75</x:v>
      </x:c>
    </x:row>
    <x:row r="5" ht="26.25" customHeight="1">
      <x:c r="A5" s="4" t="s">
        <x:v>76</x:v>
      </x:c>
      <x:c r="B5" s="3" t="s">
        <x:v>77</x:v>
      </x:c>
    </x:row>
  </x:sheetData>
  <x:pageMargins left="0.7" right="0.7" top="0.75" bottom="0.75" header="0.3" footer="0.3"/>
</x:worksheet>
</file>