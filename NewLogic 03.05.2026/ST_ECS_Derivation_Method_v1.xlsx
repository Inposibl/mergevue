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laude Project Niko\Downloads\"/>
    </mc:Choice>
  </mc:AlternateContent>
  <xr:revisionPtr revIDLastSave="0" documentId="13_ncr:1_{8B6CE684-0358-4A0B-B7B1-06A1E267B313}" xr6:coauthVersionLast="47" xr6:coauthVersionMax="47" xr10:uidLastSave="{00000000-0000-0000-0000-000000000000}"/>
  <bookViews>
    <workbookView xWindow="28680" yWindow="2385" windowWidth="29040" windowHeight="16440" tabRatio="500" xr2:uid="{00000000-000D-0000-FFFF-FFFF00000000}"/>
  </bookViews>
  <sheets>
    <sheet name="Method" sheetId="1" r:id="rId1"/>
    <sheet name="Net_Effect_Vectors" sheetId="2" r:id="rId2"/>
    <sheet name="Pair_Computation" sheetId="3" r:id="rId3"/>
    <sheet name="Reproduction_Test" sheetId="4" r:id="rId4"/>
    <sheet name="Interpretation_Caveat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37" i="3" l="1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T37" i="3" s="1"/>
  <c r="U37" i="3" s="1"/>
  <c r="V37" i="3" s="1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T36" i="3" s="1"/>
  <c r="U36" i="3" s="1"/>
  <c r="V36" i="3" s="1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T35" i="3" s="1"/>
  <c r="U35" i="3" s="1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T34" i="3" s="1"/>
  <c r="U34" i="3" s="1"/>
  <c r="V34" i="3" s="1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T33" i="3" s="1"/>
  <c r="U33" i="3" s="1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T32" i="3" s="1"/>
  <c r="U32" i="3" s="1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T31" i="3" s="1"/>
  <c r="U31" i="3" s="1"/>
  <c r="V31" i="3" s="1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T30" i="3" s="1"/>
  <c r="U30" i="3" s="1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T29" i="3" s="1"/>
  <c r="U29" i="3" s="1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T28" i="3" s="1"/>
  <c r="U28" i="3" s="1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T27" i="3" s="1"/>
  <c r="U27" i="3" s="1"/>
  <c r="V27" i="3" s="1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T26" i="3" s="1"/>
  <c r="U26" i="3" s="1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T25" i="3" s="1"/>
  <c r="U25" i="3" s="1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T24" i="3" s="1"/>
  <c r="U24" i="3" s="1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T23" i="3" s="1"/>
  <c r="U23" i="3" s="1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T22" i="3" s="1"/>
  <c r="U22" i="3" s="1"/>
  <c r="V22" i="3" s="1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T21" i="3" s="1"/>
  <c r="U21" i="3" s="1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T20" i="3" s="1"/>
  <c r="U20" i="3" s="1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T19" i="3" s="1"/>
  <c r="U19" i="3" s="1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T18" i="3" s="1"/>
  <c r="U18" i="3" s="1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T17" i="3" s="1"/>
  <c r="U17" i="3" s="1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T16" i="3" s="1"/>
  <c r="U16" i="3" s="1"/>
  <c r="V16" i="3" s="1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T15" i="3" s="1"/>
  <c r="U15" i="3" s="1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T14" i="3" s="1"/>
  <c r="U14" i="3" s="1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T13" i="3" s="1"/>
  <c r="U13" i="3" s="1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T12" i="3" s="1"/>
  <c r="U12" i="3" s="1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T11" i="3" s="1"/>
  <c r="U11" i="3" s="1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T10" i="3" s="1"/>
  <c r="U10" i="3" s="1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T9" i="3" s="1"/>
  <c r="U9" i="3" s="1"/>
  <c r="V9" i="3" s="1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T8" i="3" s="1"/>
  <c r="U8" i="3" s="1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T7" i="3" s="1"/>
  <c r="U7" i="3" s="1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T6" i="3" s="1"/>
  <c r="U6" i="3" s="1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T5" i="3" s="1"/>
  <c r="U5" i="3" s="1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T4" i="3" s="1"/>
  <c r="U4" i="3" s="1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T3" i="3" s="1"/>
  <c r="U3" i="3" s="1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T2" i="3" s="1"/>
  <c r="U2" i="3" s="1"/>
  <c r="D5" i="4" l="1"/>
  <c r="E5" i="4" s="1"/>
  <c r="F5" i="4" s="1"/>
  <c r="V5" i="3"/>
  <c r="V13" i="3"/>
  <c r="D12" i="4"/>
  <c r="E12" i="4" s="1"/>
  <c r="F12" i="4" s="1"/>
  <c r="D19" i="4"/>
  <c r="E19" i="4" s="1"/>
  <c r="F19" i="4" s="1"/>
  <c r="V21" i="3"/>
  <c r="V29" i="3"/>
  <c r="D25" i="4"/>
  <c r="E25" i="4" s="1"/>
  <c r="F25" i="4" s="1"/>
  <c r="D6" i="4"/>
  <c r="E6" i="4" s="1"/>
  <c r="F6" i="4" s="1"/>
  <c r="V6" i="3"/>
  <c r="V14" i="3"/>
  <c r="D13" i="4"/>
  <c r="E13" i="4" s="1"/>
  <c r="F13" i="4" s="1"/>
  <c r="V30" i="3"/>
  <c r="D26" i="4"/>
  <c r="E26" i="4" s="1"/>
  <c r="F26" i="4" s="1"/>
  <c r="D21" i="4"/>
  <c r="E21" i="4" s="1"/>
  <c r="F21" i="4" s="1"/>
  <c r="V24" i="3"/>
  <c r="D15" i="4"/>
  <c r="E15" i="4" s="1"/>
  <c r="F15" i="4" s="1"/>
  <c r="V17" i="3"/>
  <c r="D22" i="4"/>
  <c r="E22" i="4" s="1"/>
  <c r="F22" i="4" s="1"/>
  <c r="V25" i="3"/>
  <c r="V33" i="3"/>
  <c r="D28" i="4"/>
  <c r="E28" i="4" s="1"/>
  <c r="F28" i="4" s="1"/>
  <c r="D14" i="4"/>
  <c r="E14" i="4" s="1"/>
  <c r="F14" i="4" s="1"/>
  <c r="V15" i="3"/>
  <c r="D27" i="4"/>
  <c r="E27" i="4" s="1"/>
  <c r="F27" i="4" s="1"/>
  <c r="V32" i="3"/>
  <c r="D2" i="4"/>
  <c r="E2" i="4" s="1"/>
  <c r="F2" i="4" s="1"/>
  <c r="F30" i="4" s="1"/>
  <c r="V2" i="3"/>
  <c r="D9" i="4"/>
  <c r="E9" i="4" s="1"/>
  <c r="F9" i="4" s="1"/>
  <c r="V10" i="3"/>
  <c r="D16" i="4"/>
  <c r="E16" i="4" s="1"/>
  <c r="F16" i="4" s="1"/>
  <c r="V18" i="3"/>
  <c r="V26" i="3"/>
  <c r="D23" i="4"/>
  <c r="E23" i="4" s="1"/>
  <c r="F23" i="4" s="1"/>
  <c r="D29" i="4"/>
  <c r="E29" i="4" s="1"/>
  <c r="F29" i="4" s="1"/>
  <c r="V35" i="3"/>
  <c r="D7" i="4"/>
  <c r="E7" i="4" s="1"/>
  <c r="F7" i="4" s="1"/>
  <c r="V7" i="3"/>
  <c r="V23" i="3"/>
  <c r="D20" i="4"/>
  <c r="E20" i="4" s="1"/>
  <c r="F20" i="4" s="1"/>
  <c r="D8" i="4"/>
  <c r="E8" i="4" s="1"/>
  <c r="F8" i="4" s="1"/>
  <c r="V8" i="3"/>
  <c r="D3" i="4"/>
  <c r="E3" i="4" s="1"/>
  <c r="F3" i="4" s="1"/>
  <c r="V3" i="3"/>
  <c r="D10" i="4"/>
  <c r="E10" i="4" s="1"/>
  <c r="F10" i="4" s="1"/>
  <c r="V11" i="3"/>
  <c r="V19" i="3"/>
  <c r="D17" i="4"/>
  <c r="E17" i="4" s="1"/>
  <c r="F17" i="4" s="1"/>
  <c r="V4" i="3"/>
  <c r="D4" i="4"/>
  <c r="E4" i="4" s="1"/>
  <c r="F4" i="4" s="1"/>
  <c r="D11" i="4"/>
  <c r="E11" i="4" s="1"/>
  <c r="F11" i="4" s="1"/>
  <c r="V12" i="3"/>
  <c r="V20" i="3"/>
  <c r="D18" i="4"/>
  <c r="E18" i="4" s="1"/>
  <c r="F18" i="4" s="1"/>
  <c r="D24" i="4"/>
  <c r="E24" i="4" s="1"/>
  <c r="F24" i="4" s="1"/>
  <c r="V28" i="3"/>
</calcChain>
</file>

<file path=xl/sharedStrings.xml><?xml version="1.0" encoding="utf-8"?>
<sst xmlns="http://schemas.openxmlformats.org/spreadsheetml/2006/main" count="411" uniqueCount="79">
  <si>
    <t>ECS DERIVATION METHOD — CANONICAL  ·  ST_ECS_Derivation_Method_v1</t>
  </si>
  <si>
    <t>Status</t>
  </si>
  <si>
    <t>CANONICAL — author sign-off June 2026. Restores the derivation chain previously attributed to ST_ECS_v1.xlsx (file absent from corpus).</t>
  </si>
  <si>
    <t>FORMULA</t>
  </si>
  <si>
    <t>ECS = 100 × (1 − C / 34)</t>
  </si>
  <si>
    <t>C (Conflict Score)</t>
  </si>
  <si>
    <t>Sum over 17 resources of pairwise conflict points between the two environments’ Net Effect values.</t>
  </si>
  <si>
    <t>Conflict points per resource</t>
  </si>
  <si>
    <t>2 = direct opposition (+ vs −)  ·  1 = partial (+ vs ~  or  − vs ~)  ·  0 = identical Net Effect (including ~/~, +/+, −/−)</t>
  </si>
  <si>
    <t>Denominator 34</t>
  </si>
  <si>
    <t>Maximum possible conflict: 17 resources × 2 points.</t>
  </si>
  <si>
    <t>Rounding</t>
  </si>
  <si>
    <t>One decimal place. All canonical matrix values are exact multiples of 100/34 ≈ 2.941.</t>
  </si>
  <si>
    <t>Symmetry</t>
  </si>
  <si>
    <t>The formula is symmetric: ECS(A,B) = ECS(B,A). Directionality (acquirer vs target) is carried exclusively by the friction-point narratives, never by the score.</t>
  </si>
  <si>
    <t>DATA SOURCE</t>
  </si>
  <si>
    <t>Net Effect column, sheet "Resource Impact Matrix", in each of the 9 Environment Reference files (NF_NT, NF_SFJ, NF_SFP, NT_STJ, NT_STP, SFJ_SFP, SFP_SFJ, STJ_STP, STP_STJ _Environment_Reference.xlsx). Mirrored on sheet Net_Effect_Vectors of this file; the Reference files remain the single source of truth.</t>
  </si>
  <si>
    <t>REPRODUCTION PROOF</t>
  </si>
  <si>
    <t>Sheet Reproduction_Test: all 28 published pair scores in ST_Friction_Point_Lookup_updated.xlsx → ECS_Matrix reproduced with 0.0 deviation. Verified June 2026.</t>
  </si>
  <si>
    <t>AUDIT ENTRY POINT</t>
  </si>
  <si>
    <t>An independent analyst verifies three things: (1) Net Effect vectors match the Reference files; (2) per-resource conflict formulas on Pair_Computation; (3) Reproduction_Test = 28/28 PASS.</t>
  </si>
  <si>
    <t>SUPERSESSION NOTE</t>
  </si>
  <si>
    <t>This file supersedes the narrative-only description on sheet Derivation_Method of ST_Friction_Point_Lookup_updated.xlsx for the ECS-score layer. Friction-point narrative derivation remains documented there.</t>
  </si>
  <si>
    <t>SCORE INTERPRETATION RULE</t>
  </si>
  <si>
    <t>Canonical home: sheet Interpretation_Caveats of this file (author decision, June 2026). No standalone Score Interpretation Rule file exists in canon.</t>
  </si>
  <si>
    <t>Environment</t>
  </si>
  <si>
    <t>Time</t>
  </si>
  <si>
    <t>Energy</t>
  </si>
  <si>
    <t>Attention</t>
  </si>
  <si>
    <t>Money</t>
  </si>
  <si>
    <t>Reputation</t>
  </si>
  <si>
    <t>Trust</t>
  </si>
  <si>
    <t>Influence</t>
  </si>
  <si>
    <t>Information</t>
  </si>
  <si>
    <t>Connections</t>
  </si>
  <si>
    <t>Skills</t>
  </si>
  <si>
    <t>Knowledge</t>
  </si>
  <si>
    <t>Health</t>
  </si>
  <si>
    <t>Psychological resilience</t>
  </si>
  <si>
    <t>Will / discipline</t>
  </si>
  <si>
    <t>Creativity</t>
  </si>
  <si>
    <t>Decisiveness</t>
  </si>
  <si>
    <t>Organisation / system</t>
  </si>
  <si>
    <t>NF/NT</t>
  </si>
  <si>
    <t>+</t>
  </si>
  <si>
    <t>~</t>
  </si>
  <si>
    <t>NF/SFJ</t>
  </si>
  <si>
    <t>-</t>
  </si>
  <si>
    <t>NF/SFP</t>
  </si>
  <si>
    <t>NT/STJ</t>
  </si>
  <si>
    <t>NT/STP</t>
  </si>
  <si>
    <t>SFJ/SFP</t>
  </si>
  <si>
    <t>SFP/SFJ</t>
  </si>
  <si>
    <t>STJ/STP</t>
  </si>
  <si>
    <t>STP/STJ</t>
  </si>
  <si>
    <t>Source: "Resource Impact Matrix" sheet, Net Effect column, of each *_Environment_Reference.xlsx. Verbatim mirror, June 2026.</t>
  </si>
  <si>
    <t>Env A</t>
  </si>
  <si>
    <t>Env B</t>
  </si>
  <si>
    <t>C (conflict)</t>
  </si>
  <si>
    <t>ECS</t>
  </si>
  <si>
    <t>Band</t>
  </si>
  <si>
    <t>CANON (reproduced)</t>
  </si>
  <si>
    <t>CANON (author-canonized June 2026)</t>
  </si>
  <si>
    <t>Same-environment pairs (diagonal) = 100 by definition (●), not computed. STP/STJ values author-canonized June 2026 and published in ST_Friction_Point_Lookup_updated.xlsx → ECS_Matrix (9×9).</t>
  </si>
  <si>
    <t>Published ECS (source: ST_Friction_Point_Lookup_updated.xlsx → ECS_Matrix)</t>
  </si>
  <si>
    <t>Computed ECS (link)</t>
  </si>
  <si>
    <t>Diff</t>
  </si>
  <si>
    <t>Result</t>
  </si>
  <si>
    <t>PASS count:</t>
  </si>
  <si>
    <t>SCORE INTERPRETATION RULE — CANONICAL HOME (author decision, June 2026)</t>
  </si>
  <si>
    <t>This sheet is the canonical location of the ST Score Interpretation Rule. Resolves the deferred canonization question (standalone file vs fold-in) in favour of fold-in: ST_Score_Interpretation_Rule.xlsx will not be created as a separate corpus file. Any draft carrying that name is superseded by this sheet.</t>
  </si>
  <si>
    <t>1. Concealed conflict (existing canon)</t>
  </si>
  <si>
    <t>High ECS in cross-environment NT-adjacent pairs (NT/STJ × NT/STP = 91.2) is a diagnostic trigger, not reassurance: shared surface vocabulary, divergent decision mechanisms. Canonical Score Interpretation Rule.</t>
  </si>
  <si>
    <t>2. Aligned suppression (new — this audit)</t>
  </si>
  <si>
    <t>NF/SFJ × SFP/SFJ = 88.2 (HIGH COMPATIBILITY) although each profile suppresses 15 of 17 resources. The formula scores agreement of Net Effects, not their sign: two environments that suppress the same resources identically register zero conflict. High ECS here means "compatible in degradation", not "healthy". Any buyer-facing output for pairs where both Net Effect vectors are predominantly negative MUST carry this caveat.</t>
  </si>
  <si>
    <t>3. Symmetry</t>
  </si>
  <si>
    <t>ECS(A,B) = ECS(B,A) by construction. Acquirer/target asymmetry exists only in friction narratives. Do not present the score as direction-sensitive.</t>
  </si>
  <si>
    <t>4. What the formula does NOT capture</t>
  </si>
  <si>
    <t>Resource health level (+/+ alignment and −/− alignment both score 0 conflict); magnitude (F/A 1–9 values are not used in pair ECS — only the qualitative Net Effect sign); intra-environment dynamics.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</si>
</sst>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2" fillId="0" borderId="0" xfId="0" applyFont="1" applyAlignment="1">
      <alignment vertical="top" wrapText="1"/>
    </xf>
    <xf numFmtId="0" fontId="1" fillId="0" borderId="0" xfId="0" applyFont="1" applyAlignment="1"/>
    <xf numFmtId="0" fontId="1" fillId="0" borderId="0" xfId="0" applyFont="1"/>
    <xf numFmtId="0" fontId="1" fillId="2" borderId="0" xfId="0" applyFont="1" applyFill="1" applyAlignment="1">
      <alignment wrapText="1"/>
    </xf>
    <xf numFmtId="0" fontId="2" fillId="0" borderId="0" xfId="0" applyFont="1" applyAlignment="1"/>
    <xf numFmtId="0" fontId="1" fillId="2" borderId="0" xfId="0" applyFont="1" applyFill="1" applyAlignment="1">
      <alignment horizontal="right" textRotation="90" wrapText="1"/>
    </xf>
    <xf numFmtId="0" fontId="3" fillId="0" borderId="0" xfId="0" applyFont="1" applyAlignment="1"/>
    <xf numFmtId="0" fontId="4" fillId="0" borderId="0" xfId="0" applyFont="1" applyAlignme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zoomScaleNormal="100" workbookViewId="0">
      <selection activeCell="A11" sqref="A11"/>
    </sheetView>
  </sheetViews>
  <sheetFormatPr defaultColWidth="8.7109375" defaultRowHeight="15" x14ac:dyDescent="0.25"/>
  <cols>
    <col min="1" max="1" width="82.85546875" style="1" bestFit="1" customWidth="1"/>
    <col min="2" max="2" width="110" style="1" customWidth="1"/>
  </cols>
  <sheetData>
    <row r="1" spans="1:2" ht="15" customHeight="1" x14ac:dyDescent="0.25">
      <c r="A1" s="11" t="s">
        <v>0</v>
      </c>
      <c r="B1" s="11"/>
    </row>
    <row r="2" spans="1:2" ht="26.25" customHeight="1" x14ac:dyDescent="0.25">
      <c r="A2" s="4" t="s">
        <v>1</v>
      </c>
      <c r="B2" s="3" t="s">
        <v>2</v>
      </c>
    </row>
    <row r="3" spans="1:2" ht="15" customHeight="1" x14ac:dyDescent="0.25">
      <c r="A3" s="4"/>
      <c r="B3" s="3"/>
    </row>
    <row r="4" spans="1:2" ht="15" customHeight="1" x14ac:dyDescent="0.25">
      <c r="A4" s="4" t="s">
        <v>3</v>
      </c>
      <c r="B4" s="3" t="s">
        <v>4</v>
      </c>
    </row>
    <row r="5" spans="1:2" ht="15" customHeight="1" x14ac:dyDescent="0.25">
      <c r="A5" s="4" t="s">
        <v>5</v>
      </c>
      <c r="B5" s="3" t="s">
        <v>6</v>
      </c>
    </row>
    <row r="6" spans="1:2" ht="15" customHeight="1" x14ac:dyDescent="0.25">
      <c r="A6" s="4" t="s">
        <v>7</v>
      </c>
      <c r="B6" s="3" t="s">
        <v>8</v>
      </c>
    </row>
    <row r="7" spans="1:2" ht="15" customHeight="1" x14ac:dyDescent="0.25">
      <c r="A7" s="4" t="s">
        <v>9</v>
      </c>
      <c r="B7" s="3" t="s">
        <v>10</v>
      </c>
    </row>
    <row r="8" spans="1:2" ht="15" customHeight="1" x14ac:dyDescent="0.25">
      <c r="A8" s="4" t="s">
        <v>11</v>
      </c>
      <c r="B8" s="3" t="s">
        <v>12</v>
      </c>
    </row>
    <row r="9" spans="1:2" ht="26.25" customHeight="1" x14ac:dyDescent="0.25">
      <c r="A9" s="4" t="s">
        <v>13</v>
      </c>
      <c r="B9" s="3" t="s">
        <v>14</v>
      </c>
    </row>
    <row r="10" spans="1:2" ht="15" customHeight="1" x14ac:dyDescent="0.25">
      <c r="A10" s="4"/>
      <c r="B10" s="3"/>
    </row>
    <row r="11" spans="1:2" ht="39" customHeight="1" x14ac:dyDescent="0.25">
      <c r="A11" s="4" t="s">
        <v>15</v>
      </c>
      <c r="B11" s="3" t="s">
        <v>16</v>
      </c>
    </row>
    <row r="12" spans="1:2" ht="26.25" customHeight="1" x14ac:dyDescent="0.25">
      <c r="A12" s="4" t="s">
        <v>17</v>
      </c>
      <c r="B12" s="3" t="s">
        <v>18</v>
      </c>
    </row>
    <row r="13" spans="1:2" ht="26.25" customHeight="1" x14ac:dyDescent="0.25">
      <c r="A13" s="4" t="s">
        <v>19</v>
      </c>
      <c r="B13" s="3" t="s">
        <v>20</v>
      </c>
    </row>
    <row r="14" spans="1:2" ht="15" customHeight="1" x14ac:dyDescent="0.25">
      <c r="A14" s="4"/>
      <c r="B14" s="3"/>
    </row>
    <row r="15" spans="1:2" ht="39" customHeight="1" x14ac:dyDescent="0.25">
      <c r="A15" s="4" t="s">
        <v>21</v>
      </c>
      <c r="B15" s="3" t="s">
        <v>22</v>
      </c>
    </row>
    <row r="17" spans="1:2" ht="28.5" x14ac:dyDescent="0.25">
      <c r="A17" s="5" t="s">
        <v>23</v>
      </c>
      <c r="B17" s="3" t="s">
        <v>24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zoomScaleNormal="100" workbookViewId="0"/>
  </sheetViews>
  <sheetFormatPr defaultColWidth="8.7109375" defaultRowHeight="15" x14ac:dyDescent="0.25"/>
  <cols>
    <col min="1" max="1" width="14" style="1" customWidth="1"/>
  </cols>
  <sheetData>
    <row r="1" spans="1:18" ht="51.75" customHeight="1" x14ac:dyDescent="0.25">
      <c r="A1" s="4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36</v>
      </c>
      <c r="M1" s="6" t="s">
        <v>37</v>
      </c>
      <c r="N1" s="6" t="s">
        <v>38</v>
      </c>
      <c r="O1" s="6" t="s">
        <v>39</v>
      </c>
      <c r="P1" s="6" t="s">
        <v>40</v>
      </c>
      <c r="Q1" s="6" t="s">
        <v>41</v>
      </c>
      <c r="R1" s="6" t="s">
        <v>42</v>
      </c>
    </row>
    <row r="2" spans="1:18" ht="15" customHeight="1" x14ac:dyDescent="0.25">
      <c r="A2" s="4" t="s">
        <v>43</v>
      </c>
      <c r="B2" s="7" t="s">
        <v>44</v>
      </c>
      <c r="C2" s="7" t="s">
        <v>44</v>
      </c>
      <c r="D2" s="7" t="s">
        <v>44</v>
      </c>
      <c r="E2" s="7" t="s">
        <v>45</v>
      </c>
      <c r="F2" s="7" t="s">
        <v>44</v>
      </c>
      <c r="G2" s="7" t="s">
        <v>44</v>
      </c>
      <c r="H2" s="7" t="s">
        <v>44</v>
      </c>
      <c r="I2" s="7" t="s">
        <v>44</v>
      </c>
      <c r="J2" s="7" t="s">
        <v>44</v>
      </c>
      <c r="K2" s="7" t="s">
        <v>44</v>
      </c>
      <c r="L2" s="7" t="s">
        <v>44</v>
      </c>
      <c r="M2" s="7" t="s">
        <v>45</v>
      </c>
      <c r="N2" s="7" t="s">
        <v>44</v>
      </c>
      <c r="O2" s="7" t="s">
        <v>44</v>
      </c>
      <c r="P2" s="7" t="s">
        <v>44</v>
      </c>
      <c r="Q2" s="7" t="s">
        <v>45</v>
      </c>
      <c r="R2" s="7" t="s">
        <v>45</v>
      </c>
    </row>
    <row r="3" spans="1:18" ht="15" customHeight="1" x14ac:dyDescent="0.25">
      <c r="A3" s="4" t="s">
        <v>46</v>
      </c>
      <c r="B3" s="7" t="s">
        <v>47</v>
      </c>
      <c r="C3" s="7" t="s">
        <v>47</v>
      </c>
      <c r="D3" s="7" t="s">
        <v>47</v>
      </c>
      <c r="E3" s="7" t="s">
        <v>47</v>
      </c>
      <c r="F3" s="7" t="s">
        <v>45</v>
      </c>
      <c r="G3" s="7" t="s">
        <v>47</v>
      </c>
      <c r="H3" s="7" t="s">
        <v>47</v>
      </c>
      <c r="I3" s="7" t="s">
        <v>47</v>
      </c>
      <c r="J3" s="7" t="s">
        <v>45</v>
      </c>
      <c r="K3" s="7" t="s">
        <v>47</v>
      </c>
      <c r="L3" s="7" t="s">
        <v>47</v>
      </c>
      <c r="M3" s="7" t="s">
        <v>47</v>
      </c>
      <c r="N3" s="7" t="s">
        <v>47</v>
      </c>
      <c r="O3" s="7" t="s">
        <v>47</v>
      </c>
      <c r="P3" s="7" t="s">
        <v>47</v>
      </c>
      <c r="Q3" s="7" t="s">
        <v>47</v>
      </c>
      <c r="R3" s="7" t="s">
        <v>47</v>
      </c>
    </row>
    <row r="4" spans="1:18" ht="15" customHeight="1" x14ac:dyDescent="0.25">
      <c r="A4" s="4" t="s">
        <v>48</v>
      </c>
      <c r="B4" s="7" t="s">
        <v>45</v>
      </c>
      <c r="C4" s="7" t="s">
        <v>44</v>
      </c>
      <c r="D4" s="7" t="s">
        <v>44</v>
      </c>
      <c r="E4" s="7" t="s">
        <v>45</v>
      </c>
      <c r="F4" s="7" t="s">
        <v>44</v>
      </c>
      <c r="G4" s="7" t="s">
        <v>44</v>
      </c>
      <c r="H4" s="7" t="s">
        <v>44</v>
      </c>
      <c r="I4" s="7" t="s">
        <v>45</v>
      </c>
      <c r="J4" s="7" t="s">
        <v>44</v>
      </c>
      <c r="K4" s="7" t="s">
        <v>44</v>
      </c>
      <c r="L4" s="7" t="s">
        <v>45</v>
      </c>
      <c r="M4" s="7" t="s">
        <v>44</v>
      </c>
      <c r="N4" s="7" t="s">
        <v>44</v>
      </c>
      <c r="O4" s="7" t="s">
        <v>45</v>
      </c>
      <c r="P4" s="7" t="s">
        <v>44</v>
      </c>
      <c r="Q4" s="7" t="s">
        <v>45</v>
      </c>
      <c r="R4" s="7" t="s">
        <v>47</v>
      </c>
    </row>
    <row r="5" spans="1:18" ht="15" customHeight="1" x14ac:dyDescent="0.25">
      <c r="A5" s="4" t="s">
        <v>49</v>
      </c>
      <c r="B5" s="7" t="s">
        <v>44</v>
      </c>
      <c r="C5" s="7" t="s">
        <v>44</v>
      </c>
      <c r="D5" s="7" t="s">
        <v>44</v>
      </c>
      <c r="E5" s="7" t="s">
        <v>44</v>
      </c>
      <c r="F5" s="7" t="s">
        <v>44</v>
      </c>
      <c r="G5" s="7" t="s">
        <v>45</v>
      </c>
      <c r="H5" s="7" t="s">
        <v>44</v>
      </c>
      <c r="I5" s="7" t="s">
        <v>44</v>
      </c>
      <c r="J5" s="7" t="s">
        <v>45</v>
      </c>
      <c r="K5" s="7" t="s">
        <v>44</v>
      </c>
      <c r="L5" s="7" t="s">
        <v>44</v>
      </c>
      <c r="M5" s="7" t="s">
        <v>45</v>
      </c>
      <c r="N5" s="7" t="s">
        <v>44</v>
      </c>
      <c r="O5" s="7" t="s">
        <v>44</v>
      </c>
      <c r="P5" s="7" t="s">
        <v>44</v>
      </c>
      <c r="Q5" s="7" t="s">
        <v>44</v>
      </c>
      <c r="R5" s="7" t="s">
        <v>44</v>
      </c>
    </row>
    <row r="6" spans="1:18" ht="15" customHeight="1" x14ac:dyDescent="0.25">
      <c r="A6" s="4" t="s">
        <v>50</v>
      </c>
      <c r="B6" s="7" t="s">
        <v>45</v>
      </c>
      <c r="C6" s="7" t="s">
        <v>44</v>
      </c>
      <c r="D6" s="7" t="s">
        <v>44</v>
      </c>
      <c r="E6" s="7" t="s">
        <v>45</v>
      </c>
      <c r="F6" s="7" t="s">
        <v>44</v>
      </c>
      <c r="G6" s="7" t="s">
        <v>45</v>
      </c>
      <c r="H6" s="7" t="s">
        <v>44</v>
      </c>
      <c r="I6" s="7" t="s">
        <v>44</v>
      </c>
      <c r="J6" s="7" t="s">
        <v>45</v>
      </c>
      <c r="K6" s="7" t="s">
        <v>44</v>
      </c>
      <c r="L6" s="7" t="s">
        <v>44</v>
      </c>
      <c r="M6" s="7" t="s">
        <v>45</v>
      </c>
      <c r="N6" s="7" t="s">
        <v>44</v>
      </c>
      <c r="O6" s="7" t="s">
        <v>44</v>
      </c>
      <c r="P6" s="7" t="s">
        <v>44</v>
      </c>
      <c r="Q6" s="7" t="s">
        <v>44</v>
      </c>
      <c r="R6" s="7" t="s">
        <v>45</v>
      </c>
    </row>
    <row r="7" spans="1:18" ht="15" customHeight="1" x14ac:dyDescent="0.25">
      <c r="A7" s="4" t="s">
        <v>51</v>
      </c>
      <c r="B7" s="7" t="s">
        <v>44</v>
      </c>
      <c r="C7" s="7" t="s">
        <v>44</v>
      </c>
      <c r="D7" s="7" t="s">
        <v>44</v>
      </c>
      <c r="E7" s="7" t="s">
        <v>44</v>
      </c>
      <c r="F7" s="7" t="s">
        <v>44</v>
      </c>
      <c r="G7" s="7" t="s">
        <v>44</v>
      </c>
      <c r="H7" s="7" t="s">
        <v>44</v>
      </c>
      <c r="I7" s="7" t="s">
        <v>45</v>
      </c>
      <c r="J7" s="7" t="s">
        <v>44</v>
      </c>
      <c r="K7" s="7" t="s">
        <v>44</v>
      </c>
      <c r="L7" s="7" t="s">
        <v>47</v>
      </c>
      <c r="M7" s="7" t="s">
        <v>44</v>
      </c>
      <c r="N7" s="7" t="s">
        <v>44</v>
      </c>
      <c r="O7" s="7" t="s">
        <v>47</v>
      </c>
      <c r="P7" s="7" t="s">
        <v>47</v>
      </c>
      <c r="Q7" s="7" t="s">
        <v>47</v>
      </c>
      <c r="R7" s="7" t="s">
        <v>47</v>
      </c>
    </row>
    <row r="8" spans="1:18" ht="15" customHeight="1" x14ac:dyDescent="0.25">
      <c r="A8" s="4" t="s">
        <v>52</v>
      </c>
      <c r="B8" s="7" t="s">
        <v>47</v>
      </c>
      <c r="C8" s="7" t="s">
        <v>45</v>
      </c>
      <c r="D8" s="7" t="s">
        <v>47</v>
      </c>
      <c r="E8" s="7" t="s">
        <v>47</v>
      </c>
      <c r="F8" s="7" t="s">
        <v>47</v>
      </c>
      <c r="G8" s="7" t="s">
        <v>47</v>
      </c>
      <c r="H8" s="7" t="s">
        <v>47</v>
      </c>
      <c r="I8" s="7" t="s">
        <v>47</v>
      </c>
      <c r="J8" s="7" t="s">
        <v>47</v>
      </c>
      <c r="K8" s="7" t="s">
        <v>47</v>
      </c>
      <c r="L8" s="7" t="s">
        <v>47</v>
      </c>
      <c r="M8" s="7" t="s">
        <v>47</v>
      </c>
      <c r="N8" s="7" t="s">
        <v>47</v>
      </c>
      <c r="O8" s="7" t="s">
        <v>47</v>
      </c>
      <c r="P8" s="7" t="s">
        <v>47</v>
      </c>
      <c r="Q8" s="7" t="s">
        <v>47</v>
      </c>
      <c r="R8" s="7" t="s">
        <v>45</v>
      </c>
    </row>
    <row r="9" spans="1:18" ht="15" customHeight="1" x14ac:dyDescent="0.25">
      <c r="A9" s="4" t="s">
        <v>53</v>
      </c>
      <c r="B9" s="7" t="s">
        <v>45</v>
      </c>
      <c r="C9" s="7" t="s">
        <v>44</v>
      </c>
      <c r="D9" s="7" t="s">
        <v>45</v>
      </c>
      <c r="E9" s="7" t="s">
        <v>44</v>
      </c>
      <c r="F9" s="7" t="s">
        <v>44</v>
      </c>
      <c r="G9" s="7" t="s">
        <v>47</v>
      </c>
      <c r="H9" s="7" t="s">
        <v>44</v>
      </c>
      <c r="I9" s="7" t="s">
        <v>45</v>
      </c>
      <c r="J9" s="7" t="s">
        <v>45</v>
      </c>
      <c r="K9" s="7" t="s">
        <v>44</v>
      </c>
      <c r="L9" s="7" t="s">
        <v>47</v>
      </c>
      <c r="M9" s="7" t="s">
        <v>45</v>
      </c>
      <c r="N9" s="7" t="s">
        <v>45</v>
      </c>
      <c r="O9" s="7" t="s">
        <v>44</v>
      </c>
      <c r="P9" s="7" t="s">
        <v>45</v>
      </c>
      <c r="Q9" s="7" t="s">
        <v>44</v>
      </c>
      <c r="R9" s="7" t="s">
        <v>44</v>
      </c>
    </row>
    <row r="10" spans="1:18" ht="15" customHeight="1" x14ac:dyDescent="0.25">
      <c r="A10" s="4" t="s">
        <v>54</v>
      </c>
      <c r="B10" s="7" t="s">
        <v>45</v>
      </c>
      <c r="C10" s="7" t="s">
        <v>44</v>
      </c>
      <c r="D10" s="7" t="s">
        <v>44</v>
      </c>
      <c r="E10" s="7" t="s">
        <v>44</v>
      </c>
      <c r="F10" s="7" t="s">
        <v>44</v>
      </c>
      <c r="G10" s="7" t="s">
        <v>47</v>
      </c>
      <c r="H10" s="7" t="s">
        <v>44</v>
      </c>
      <c r="I10" s="7" t="s">
        <v>45</v>
      </c>
      <c r="J10" s="7" t="s">
        <v>44</v>
      </c>
      <c r="K10" s="7" t="s">
        <v>44</v>
      </c>
      <c r="L10" s="7" t="s">
        <v>47</v>
      </c>
      <c r="M10" s="7" t="s">
        <v>47</v>
      </c>
      <c r="N10" s="7" t="s">
        <v>45</v>
      </c>
      <c r="O10" s="7" t="s">
        <v>44</v>
      </c>
      <c r="P10" s="7" t="s">
        <v>45</v>
      </c>
      <c r="Q10" s="7" t="s">
        <v>44</v>
      </c>
      <c r="R10" s="7" t="s">
        <v>44</v>
      </c>
    </row>
    <row r="12" spans="1:18" ht="15" customHeight="1" x14ac:dyDescent="0.25">
      <c r="A12" s="7" t="s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"/>
  <sheetViews>
    <sheetView zoomScaleNormal="100" workbookViewId="0"/>
  </sheetViews>
  <sheetFormatPr defaultColWidth="8.7109375" defaultRowHeight="15" x14ac:dyDescent="0.25"/>
  <cols>
    <col min="1" max="2" width="10" style="1" customWidth="1"/>
    <col min="20" max="23" width="16" style="1" customWidth="1"/>
  </cols>
  <sheetData>
    <row r="1" spans="1:23" ht="127.5" customHeight="1" x14ac:dyDescent="0.25">
      <c r="A1" s="4" t="s">
        <v>56</v>
      </c>
      <c r="B1" s="4" t="s">
        <v>57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  <c r="N1" s="8" t="s">
        <v>37</v>
      </c>
      <c r="O1" s="8" t="s">
        <v>38</v>
      </c>
      <c r="P1" s="8" t="s">
        <v>39</v>
      </c>
      <c r="Q1" s="8" t="s">
        <v>40</v>
      </c>
      <c r="R1" s="8" t="s">
        <v>41</v>
      </c>
      <c r="S1" s="8" t="s">
        <v>42</v>
      </c>
      <c r="T1" s="2" t="s">
        <v>58</v>
      </c>
      <c r="U1" s="2" t="s">
        <v>59</v>
      </c>
      <c r="V1" s="2" t="s">
        <v>60</v>
      </c>
      <c r="W1" s="2" t="s">
        <v>1</v>
      </c>
    </row>
    <row r="2" spans="1:23" ht="15" customHeight="1" x14ac:dyDescent="0.25">
      <c r="A2" s="7" t="s">
        <v>43</v>
      </c>
      <c r="B2" s="7" t="s">
        <v>46</v>
      </c>
      <c r="C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2</v>
      </c>
      <c r="D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2</v>
      </c>
      <c r="E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2</v>
      </c>
      <c r="F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1</v>
      </c>
      <c r="G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1</v>
      </c>
      <c r="H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2</v>
      </c>
      <c r="I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2</v>
      </c>
      <c r="J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2</v>
      </c>
      <c r="K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1</v>
      </c>
      <c r="L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2</v>
      </c>
      <c r="M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2</v>
      </c>
      <c r="N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1</v>
      </c>
      <c r="O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2</v>
      </c>
      <c r="P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2</v>
      </c>
      <c r="Q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2</v>
      </c>
      <c r="R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1</v>
      </c>
      <c r="S2" s="7">
        <f>IF(INDEX(Net_Effect_Vectors!$B$2:$R$10,MATCH($A2,Net_Effect_Vectors!$A$2:$A$10,0),COLUMN()-2)=INDEX(Net_Effect_Vectors!$B$2:$R$10,MATCH($B2,Net_Effect_Vectors!$A$2:$A$10,0),COLUMN()-2),0,IF(OR(INDEX(Net_Effect_Vectors!$B$2:$R$10,MATCH($A2,Net_Effect_Vectors!$A$2:$A$10,0),COLUMN()-2)="~",INDEX(Net_Effect_Vectors!$B$2:$R$10,MATCH($B2,Net_Effect_Vectors!$A$2:$A$10,0),COLUMN()-2)="~"),1,2))</f>
        <v>1</v>
      </c>
      <c r="T2" s="7">
        <f t="shared" ref="T2:T37" si="0">SUM(C2:S2)</f>
        <v>28</v>
      </c>
      <c r="U2" s="7">
        <f t="shared" ref="U2:U37" si="1">ROUND(100*(1-T2/34),1)</f>
        <v>17.600000000000001</v>
      </c>
      <c r="V2" s="7" t="str">
        <f t="shared" ref="V2:V37" si="2">IF(U2&gt;=80,"HIGH COMPATIBILITY",IF(U2&gt;=65,"MODERATE-HIGH",IF(U2&gt;=50,"MODERATE",IF(U2&gt;=35,"MODERATE-LOW","HIGH RISK"))))</f>
        <v>HIGH RISK</v>
      </c>
      <c r="W2" s="7" t="s">
        <v>61</v>
      </c>
    </row>
    <row r="3" spans="1:23" ht="15" customHeight="1" x14ac:dyDescent="0.25">
      <c r="A3" s="7" t="s">
        <v>43</v>
      </c>
      <c r="B3" s="7" t="s">
        <v>48</v>
      </c>
      <c r="C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1</v>
      </c>
      <c r="D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0</v>
      </c>
      <c r="E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0</v>
      </c>
      <c r="F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0</v>
      </c>
      <c r="G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0</v>
      </c>
      <c r="H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0</v>
      </c>
      <c r="I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0</v>
      </c>
      <c r="J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1</v>
      </c>
      <c r="K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0</v>
      </c>
      <c r="L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0</v>
      </c>
      <c r="M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1</v>
      </c>
      <c r="N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1</v>
      </c>
      <c r="O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0</v>
      </c>
      <c r="P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1</v>
      </c>
      <c r="Q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0</v>
      </c>
      <c r="R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0</v>
      </c>
      <c r="S3" s="7">
        <f>IF(INDEX(Net_Effect_Vectors!$B$2:$R$10,MATCH($A3,Net_Effect_Vectors!$A$2:$A$10,0),COLUMN()-2)=INDEX(Net_Effect_Vectors!$B$2:$R$10,MATCH($B3,Net_Effect_Vectors!$A$2:$A$10,0),COLUMN()-2),0,IF(OR(INDEX(Net_Effect_Vectors!$B$2:$R$10,MATCH($A3,Net_Effect_Vectors!$A$2:$A$10,0),COLUMN()-2)="~",INDEX(Net_Effect_Vectors!$B$2:$R$10,MATCH($B3,Net_Effect_Vectors!$A$2:$A$10,0),COLUMN()-2)="~"),1,2))</f>
        <v>1</v>
      </c>
      <c r="T3" s="7">
        <f t="shared" si="0"/>
        <v>6</v>
      </c>
      <c r="U3" s="7">
        <f t="shared" si="1"/>
        <v>82.4</v>
      </c>
      <c r="V3" s="7" t="str">
        <f t="shared" si="2"/>
        <v>HIGH COMPATIBILITY</v>
      </c>
      <c r="W3" s="7" t="s">
        <v>61</v>
      </c>
    </row>
    <row r="4" spans="1:23" ht="15" customHeight="1" x14ac:dyDescent="0.25">
      <c r="A4" s="7" t="s">
        <v>43</v>
      </c>
      <c r="B4" s="7" t="s">
        <v>49</v>
      </c>
      <c r="C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0</v>
      </c>
      <c r="D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0</v>
      </c>
      <c r="E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0</v>
      </c>
      <c r="F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1</v>
      </c>
      <c r="G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0</v>
      </c>
      <c r="H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1</v>
      </c>
      <c r="I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0</v>
      </c>
      <c r="J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0</v>
      </c>
      <c r="K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1</v>
      </c>
      <c r="L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0</v>
      </c>
      <c r="M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0</v>
      </c>
      <c r="N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0</v>
      </c>
      <c r="O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0</v>
      </c>
      <c r="P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0</v>
      </c>
      <c r="Q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0</v>
      </c>
      <c r="R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1</v>
      </c>
      <c r="S4" s="7">
        <f>IF(INDEX(Net_Effect_Vectors!$B$2:$R$10,MATCH($A4,Net_Effect_Vectors!$A$2:$A$10,0),COLUMN()-2)=INDEX(Net_Effect_Vectors!$B$2:$R$10,MATCH($B4,Net_Effect_Vectors!$A$2:$A$10,0),COLUMN()-2),0,IF(OR(INDEX(Net_Effect_Vectors!$B$2:$R$10,MATCH($A4,Net_Effect_Vectors!$A$2:$A$10,0),COLUMN()-2)="~",INDEX(Net_Effect_Vectors!$B$2:$R$10,MATCH($B4,Net_Effect_Vectors!$A$2:$A$10,0),COLUMN()-2)="~"),1,2))</f>
        <v>1</v>
      </c>
      <c r="T4" s="7">
        <f t="shared" si="0"/>
        <v>5</v>
      </c>
      <c r="U4" s="7">
        <f t="shared" si="1"/>
        <v>85.3</v>
      </c>
      <c r="V4" s="7" t="str">
        <f t="shared" si="2"/>
        <v>HIGH COMPATIBILITY</v>
      </c>
      <c r="W4" s="7" t="s">
        <v>61</v>
      </c>
    </row>
    <row r="5" spans="1:23" ht="15" customHeight="1" x14ac:dyDescent="0.25">
      <c r="A5" s="7" t="s">
        <v>43</v>
      </c>
      <c r="B5" s="7" t="s">
        <v>50</v>
      </c>
      <c r="C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1</v>
      </c>
      <c r="D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0</v>
      </c>
      <c r="E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0</v>
      </c>
      <c r="F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0</v>
      </c>
      <c r="G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0</v>
      </c>
      <c r="H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1</v>
      </c>
      <c r="I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0</v>
      </c>
      <c r="J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0</v>
      </c>
      <c r="K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1</v>
      </c>
      <c r="L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0</v>
      </c>
      <c r="M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0</v>
      </c>
      <c r="N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0</v>
      </c>
      <c r="O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0</v>
      </c>
      <c r="P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0</v>
      </c>
      <c r="Q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0</v>
      </c>
      <c r="R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1</v>
      </c>
      <c r="S5" s="7">
        <f>IF(INDEX(Net_Effect_Vectors!$B$2:$R$10,MATCH($A5,Net_Effect_Vectors!$A$2:$A$10,0),COLUMN()-2)=INDEX(Net_Effect_Vectors!$B$2:$R$10,MATCH($B5,Net_Effect_Vectors!$A$2:$A$10,0),COLUMN()-2),0,IF(OR(INDEX(Net_Effect_Vectors!$B$2:$R$10,MATCH($A5,Net_Effect_Vectors!$A$2:$A$10,0),COLUMN()-2)="~",INDEX(Net_Effect_Vectors!$B$2:$R$10,MATCH($B5,Net_Effect_Vectors!$A$2:$A$10,0),COLUMN()-2)="~"),1,2))</f>
        <v>0</v>
      </c>
      <c r="T5" s="7">
        <f t="shared" si="0"/>
        <v>4</v>
      </c>
      <c r="U5" s="7">
        <f t="shared" si="1"/>
        <v>88.2</v>
      </c>
      <c r="V5" s="7" t="str">
        <f t="shared" si="2"/>
        <v>HIGH COMPATIBILITY</v>
      </c>
      <c r="W5" s="7" t="s">
        <v>61</v>
      </c>
    </row>
    <row r="6" spans="1:23" ht="15" customHeight="1" x14ac:dyDescent="0.25">
      <c r="A6" s="7" t="s">
        <v>43</v>
      </c>
      <c r="B6" s="7" t="s">
        <v>51</v>
      </c>
      <c r="C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0</v>
      </c>
      <c r="D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0</v>
      </c>
      <c r="E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0</v>
      </c>
      <c r="F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1</v>
      </c>
      <c r="G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0</v>
      </c>
      <c r="H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0</v>
      </c>
      <c r="I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0</v>
      </c>
      <c r="J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1</v>
      </c>
      <c r="K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0</v>
      </c>
      <c r="L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0</v>
      </c>
      <c r="M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2</v>
      </c>
      <c r="N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1</v>
      </c>
      <c r="O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0</v>
      </c>
      <c r="P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2</v>
      </c>
      <c r="Q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2</v>
      </c>
      <c r="R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1</v>
      </c>
      <c r="S6" s="7">
        <f>IF(INDEX(Net_Effect_Vectors!$B$2:$R$10,MATCH($A6,Net_Effect_Vectors!$A$2:$A$10,0),COLUMN()-2)=INDEX(Net_Effect_Vectors!$B$2:$R$10,MATCH($B6,Net_Effect_Vectors!$A$2:$A$10,0),COLUMN()-2),0,IF(OR(INDEX(Net_Effect_Vectors!$B$2:$R$10,MATCH($A6,Net_Effect_Vectors!$A$2:$A$10,0),COLUMN()-2)="~",INDEX(Net_Effect_Vectors!$B$2:$R$10,MATCH($B6,Net_Effect_Vectors!$A$2:$A$10,0),COLUMN()-2)="~"),1,2))</f>
        <v>1</v>
      </c>
      <c r="T6" s="7">
        <f t="shared" si="0"/>
        <v>11</v>
      </c>
      <c r="U6" s="7">
        <f t="shared" si="1"/>
        <v>67.599999999999994</v>
      </c>
      <c r="V6" s="7" t="str">
        <f t="shared" si="2"/>
        <v>MODERATE-HIGH</v>
      </c>
      <c r="W6" s="7" t="s">
        <v>61</v>
      </c>
    </row>
    <row r="7" spans="1:23" ht="15" customHeight="1" x14ac:dyDescent="0.25">
      <c r="A7" s="7" t="s">
        <v>43</v>
      </c>
      <c r="B7" s="7" t="s">
        <v>52</v>
      </c>
      <c r="C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2</v>
      </c>
      <c r="D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1</v>
      </c>
      <c r="E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2</v>
      </c>
      <c r="F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1</v>
      </c>
      <c r="G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2</v>
      </c>
      <c r="H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2</v>
      </c>
      <c r="I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2</v>
      </c>
      <c r="J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2</v>
      </c>
      <c r="K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2</v>
      </c>
      <c r="L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2</v>
      </c>
      <c r="M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2</v>
      </c>
      <c r="N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1</v>
      </c>
      <c r="O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2</v>
      </c>
      <c r="P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2</v>
      </c>
      <c r="Q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2</v>
      </c>
      <c r="R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1</v>
      </c>
      <c r="S7" s="7">
        <f>IF(INDEX(Net_Effect_Vectors!$B$2:$R$10,MATCH($A7,Net_Effect_Vectors!$A$2:$A$10,0),COLUMN()-2)=INDEX(Net_Effect_Vectors!$B$2:$R$10,MATCH($B7,Net_Effect_Vectors!$A$2:$A$10,0),COLUMN()-2),0,IF(OR(INDEX(Net_Effect_Vectors!$B$2:$R$10,MATCH($A7,Net_Effect_Vectors!$A$2:$A$10,0),COLUMN()-2)="~",INDEX(Net_Effect_Vectors!$B$2:$R$10,MATCH($B7,Net_Effect_Vectors!$A$2:$A$10,0),COLUMN()-2)="~"),1,2))</f>
        <v>0</v>
      </c>
      <c r="T7" s="7">
        <f t="shared" si="0"/>
        <v>28</v>
      </c>
      <c r="U7" s="7">
        <f t="shared" si="1"/>
        <v>17.600000000000001</v>
      </c>
      <c r="V7" s="7" t="str">
        <f t="shared" si="2"/>
        <v>HIGH RISK</v>
      </c>
      <c r="W7" s="7" t="s">
        <v>61</v>
      </c>
    </row>
    <row r="8" spans="1:23" ht="15" customHeight="1" x14ac:dyDescent="0.25">
      <c r="A8" s="7" t="s">
        <v>43</v>
      </c>
      <c r="B8" s="7" t="s">
        <v>53</v>
      </c>
      <c r="C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1</v>
      </c>
      <c r="D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0</v>
      </c>
      <c r="E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1</v>
      </c>
      <c r="F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1</v>
      </c>
      <c r="G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0</v>
      </c>
      <c r="H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2</v>
      </c>
      <c r="I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0</v>
      </c>
      <c r="J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1</v>
      </c>
      <c r="K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1</v>
      </c>
      <c r="L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0</v>
      </c>
      <c r="M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2</v>
      </c>
      <c r="N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0</v>
      </c>
      <c r="O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1</v>
      </c>
      <c r="P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0</v>
      </c>
      <c r="Q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1</v>
      </c>
      <c r="R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1</v>
      </c>
      <c r="S8" s="7">
        <f>IF(INDEX(Net_Effect_Vectors!$B$2:$R$10,MATCH($A8,Net_Effect_Vectors!$A$2:$A$10,0),COLUMN()-2)=INDEX(Net_Effect_Vectors!$B$2:$R$10,MATCH($B8,Net_Effect_Vectors!$A$2:$A$10,0),COLUMN()-2),0,IF(OR(INDEX(Net_Effect_Vectors!$B$2:$R$10,MATCH($A8,Net_Effect_Vectors!$A$2:$A$10,0),COLUMN()-2)="~",INDEX(Net_Effect_Vectors!$B$2:$R$10,MATCH($B8,Net_Effect_Vectors!$A$2:$A$10,0),COLUMN()-2)="~"),1,2))</f>
        <v>1</v>
      </c>
      <c r="T8" s="7">
        <f t="shared" si="0"/>
        <v>13</v>
      </c>
      <c r="U8" s="7">
        <f t="shared" si="1"/>
        <v>61.8</v>
      </c>
      <c r="V8" s="7" t="str">
        <f t="shared" si="2"/>
        <v>MODERATE</v>
      </c>
      <c r="W8" s="7" t="s">
        <v>61</v>
      </c>
    </row>
    <row r="9" spans="1:23" ht="15" customHeight="1" x14ac:dyDescent="0.25">
      <c r="A9" s="7" t="s">
        <v>43</v>
      </c>
      <c r="B9" s="7" t="s">
        <v>54</v>
      </c>
      <c r="C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1</v>
      </c>
      <c r="D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0</v>
      </c>
      <c r="E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0</v>
      </c>
      <c r="F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1</v>
      </c>
      <c r="G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0</v>
      </c>
      <c r="H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2</v>
      </c>
      <c r="I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0</v>
      </c>
      <c r="J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1</v>
      </c>
      <c r="K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0</v>
      </c>
      <c r="L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0</v>
      </c>
      <c r="M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2</v>
      </c>
      <c r="N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1</v>
      </c>
      <c r="O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1</v>
      </c>
      <c r="P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0</v>
      </c>
      <c r="Q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1</v>
      </c>
      <c r="R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1</v>
      </c>
      <c r="S9" s="7">
        <f>IF(INDEX(Net_Effect_Vectors!$B$2:$R$10,MATCH($A9,Net_Effect_Vectors!$A$2:$A$10,0),COLUMN()-2)=INDEX(Net_Effect_Vectors!$B$2:$R$10,MATCH($B9,Net_Effect_Vectors!$A$2:$A$10,0),COLUMN()-2),0,IF(OR(INDEX(Net_Effect_Vectors!$B$2:$R$10,MATCH($A9,Net_Effect_Vectors!$A$2:$A$10,0),COLUMN()-2)="~",INDEX(Net_Effect_Vectors!$B$2:$R$10,MATCH($B9,Net_Effect_Vectors!$A$2:$A$10,0),COLUMN()-2)="~"),1,2))</f>
        <v>1</v>
      </c>
      <c r="T9" s="7">
        <f t="shared" si="0"/>
        <v>12</v>
      </c>
      <c r="U9" s="7">
        <f t="shared" si="1"/>
        <v>64.7</v>
      </c>
      <c r="V9" s="7" t="str">
        <f t="shared" si="2"/>
        <v>MODERATE</v>
      </c>
      <c r="W9" s="7" t="s">
        <v>62</v>
      </c>
    </row>
    <row r="10" spans="1:23" ht="15" customHeight="1" x14ac:dyDescent="0.25">
      <c r="A10" s="7" t="s">
        <v>46</v>
      </c>
      <c r="B10" s="7" t="s">
        <v>48</v>
      </c>
      <c r="C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1</v>
      </c>
      <c r="D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2</v>
      </c>
      <c r="E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2</v>
      </c>
      <c r="F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1</v>
      </c>
      <c r="G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1</v>
      </c>
      <c r="H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2</v>
      </c>
      <c r="I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2</v>
      </c>
      <c r="J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1</v>
      </c>
      <c r="K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1</v>
      </c>
      <c r="L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2</v>
      </c>
      <c r="M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1</v>
      </c>
      <c r="N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2</v>
      </c>
      <c r="O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2</v>
      </c>
      <c r="P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1</v>
      </c>
      <c r="Q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2</v>
      </c>
      <c r="R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1</v>
      </c>
      <c r="S10" s="7">
        <f>IF(INDEX(Net_Effect_Vectors!$B$2:$R$10,MATCH($A10,Net_Effect_Vectors!$A$2:$A$10,0),COLUMN()-2)=INDEX(Net_Effect_Vectors!$B$2:$R$10,MATCH($B10,Net_Effect_Vectors!$A$2:$A$10,0),COLUMN()-2),0,IF(OR(INDEX(Net_Effect_Vectors!$B$2:$R$10,MATCH($A10,Net_Effect_Vectors!$A$2:$A$10,0),COLUMN()-2)="~",INDEX(Net_Effect_Vectors!$B$2:$R$10,MATCH($B10,Net_Effect_Vectors!$A$2:$A$10,0),COLUMN()-2)="~"),1,2))</f>
        <v>0</v>
      </c>
      <c r="T10" s="7">
        <f t="shared" si="0"/>
        <v>24</v>
      </c>
      <c r="U10" s="7">
        <f t="shared" si="1"/>
        <v>29.4</v>
      </c>
      <c r="V10" s="7" t="str">
        <f t="shared" si="2"/>
        <v>HIGH RISK</v>
      </c>
      <c r="W10" s="7" t="s">
        <v>61</v>
      </c>
    </row>
    <row r="11" spans="1:23" ht="15" customHeight="1" x14ac:dyDescent="0.25">
      <c r="A11" s="7" t="s">
        <v>46</v>
      </c>
      <c r="B11" s="7" t="s">
        <v>49</v>
      </c>
      <c r="C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2</v>
      </c>
      <c r="D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2</v>
      </c>
      <c r="E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2</v>
      </c>
      <c r="F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2</v>
      </c>
      <c r="G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1</v>
      </c>
      <c r="H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1</v>
      </c>
      <c r="I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2</v>
      </c>
      <c r="J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2</v>
      </c>
      <c r="K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0</v>
      </c>
      <c r="L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2</v>
      </c>
      <c r="M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2</v>
      </c>
      <c r="N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1</v>
      </c>
      <c r="O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2</v>
      </c>
      <c r="P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2</v>
      </c>
      <c r="Q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2</v>
      </c>
      <c r="R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2</v>
      </c>
      <c r="S11" s="7">
        <f>IF(INDEX(Net_Effect_Vectors!$B$2:$R$10,MATCH($A11,Net_Effect_Vectors!$A$2:$A$10,0),COLUMN()-2)=INDEX(Net_Effect_Vectors!$B$2:$R$10,MATCH($B11,Net_Effect_Vectors!$A$2:$A$10,0),COLUMN()-2),0,IF(OR(INDEX(Net_Effect_Vectors!$B$2:$R$10,MATCH($A11,Net_Effect_Vectors!$A$2:$A$10,0),COLUMN()-2)="~",INDEX(Net_Effect_Vectors!$B$2:$R$10,MATCH($B11,Net_Effect_Vectors!$A$2:$A$10,0),COLUMN()-2)="~"),1,2))</f>
        <v>2</v>
      </c>
      <c r="T11" s="7">
        <f t="shared" si="0"/>
        <v>29</v>
      </c>
      <c r="U11" s="7">
        <f t="shared" si="1"/>
        <v>14.7</v>
      </c>
      <c r="V11" s="7" t="str">
        <f t="shared" si="2"/>
        <v>HIGH RISK</v>
      </c>
      <c r="W11" s="7" t="s">
        <v>61</v>
      </c>
    </row>
    <row r="12" spans="1:23" ht="15" customHeight="1" x14ac:dyDescent="0.25">
      <c r="A12" s="7" t="s">
        <v>46</v>
      </c>
      <c r="B12" s="7" t="s">
        <v>50</v>
      </c>
      <c r="C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1</v>
      </c>
      <c r="D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2</v>
      </c>
      <c r="E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2</v>
      </c>
      <c r="F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1</v>
      </c>
      <c r="G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1</v>
      </c>
      <c r="H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1</v>
      </c>
      <c r="I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2</v>
      </c>
      <c r="J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2</v>
      </c>
      <c r="K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0</v>
      </c>
      <c r="L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2</v>
      </c>
      <c r="M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2</v>
      </c>
      <c r="N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1</v>
      </c>
      <c r="O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2</v>
      </c>
      <c r="P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2</v>
      </c>
      <c r="Q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2</v>
      </c>
      <c r="R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2</v>
      </c>
      <c r="S12" s="7">
        <f>IF(INDEX(Net_Effect_Vectors!$B$2:$R$10,MATCH($A12,Net_Effect_Vectors!$A$2:$A$10,0),COLUMN()-2)=INDEX(Net_Effect_Vectors!$B$2:$R$10,MATCH($B12,Net_Effect_Vectors!$A$2:$A$10,0),COLUMN()-2),0,IF(OR(INDEX(Net_Effect_Vectors!$B$2:$R$10,MATCH($A12,Net_Effect_Vectors!$A$2:$A$10,0),COLUMN()-2)="~",INDEX(Net_Effect_Vectors!$B$2:$R$10,MATCH($B12,Net_Effect_Vectors!$A$2:$A$10,0),COLUMN()-2)="~"),1,2))</f>
        <v>1</v>
      </c>
      <c r="T12" s="7">
        <f t="shared" si="0"/>
        <v>26</v>
      </c>
      <c r="U12" s="7">
        <f t="shared" si="1"/>
        <v>23.5</v>
      </c>
      <c r="V12" s="7" t="str">
        <f t="shared" si="2"/>
        <v>HIGH RISK</v>
      </c>
      <c r="W12" s="7" t="s">
        <v>61</v>
      </c>
    </row>
    <row r="13" spans="1:23" ht="15" customHeight="1" x14ac:dyDescent="0.25">
      <c r="A13" s="7" t="s">
        <v>46</v>
      </c>
      <c r="B13" s="7" t="s">
        <v>51</v>
      </c>
      <c r="C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2</v>
      </c>
      <c r="D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2</v>
      </c>
      <c r="E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2</v>
      </c>
      <c r="F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2</v>
      </c>
      <c r="G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1</v>
      </c>
      <c r="H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2</v>
      </c>
      <c r="I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2</v>
      </c>
      <c r="J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1</v>
      </c>
      <c r="K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1</v>
      </c>
      <c r="L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2</v>
      </c>
      <c r="M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0</v>
      </c>
      <c r="N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2</v>
      </c>
      <c r="O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2</v>
      </c>
      <c r="P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0</v>
      </c>
      <c r="Q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0</v>
      </c>
      <c r="R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0</v>
      </c>
      <c r="S13" s="7">
        <f>IF(INDEX(Net_Effect_Vectors!$B$2:$R$10,MATCH($A13,Net_Effect_Vectors!$A$2:$A$10,0),COLUMN()-2)=INDEX(Net_Effect_Vectors!$B$2:$R$10,MATCH($B13,Net_Effect_Vectors!$A$2:$A$10,0),COLUMN()-2),0,IF(OR(INDEX(Net_Effect_Vectors!$B$2:$R$10,MATCH($A13,Net_Effect_Vectors!$A$2:$A$10,0),COLUMN()-2)="~",INDEX(Net_Effect_Vectors!$B$2:$R$10,MATCH($B13,Net_Effect_Vectors!$A$2:$A$10,0),COLUMN()-2)="~"),1,2))</f>
        <v>0</v>
      </c>
      <c r="T13" s="7">
        <f t="shared" si="0"/>
        <v>21</v>
      </c>
      <c r="U13" s="7">
        <f t="shared" si="1"/>
        <v>38.200000000000003</v>
      </c>
      <c r="V13" s="7" t="str">
        <f t="shared" si="2"/>
        <v>MODERATE-LOW</v>
      </c>
      <c r="W13" s="7" t="s">
        <v>61</v>
      </c>
    </row>
    <row r="14" spans="1:23" ht="15" customHeight="1" x14ac:dyDescent="0.25">
      <c r="A14" s="7" t="s">
        <v>46</v>
      </c>
      <c r="B14" s="7" t="s">
        <v>52</v>
      </c>
      <c r="C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0</v>
      </c>
      <c r="D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1</v>
      </c>
      <c r="E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0</v>
      </c>
      <c r="F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0</v>
      </c>
      <c r="G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1</v>
      </c>
      <c r="H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0</v>
      </c>
      <c r="I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0</v>
      </c>
      <c r="J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0</v>
      </c>
      <c r="K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1</v>
      </c>
      <c r="L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0</v>
      </c>
      <c r="M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0</v>
      </c>
      <c r="N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0</v>
      </c>
      <c r="O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0</v>
      </c>
      <c r="P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0</v>
      </c>
      <c r="Q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0</v>
      </c>
      <c r="R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0</v>
      </c>
      <c r="S14" s="7">
        <f>IF(INDEX(Net_Effect_Vectors!$B$2:$R$10,MATCH($A14,Net_Effect_Vectors!$A$2:$A$10,0),COLUMN()-2)=INDEX(Net_Effect_Vectors!$B$2:$R$10,MATCH($B14,Net_Effect_Vectors!$A$2:$A$10,0),COLUMN()-2),0,IF(OR(INDEX(Net_Effect_Vectors!$B$2:$R$10,MATCH($A14,Net_Effect_Vectors!$A$2:$A$10,0),COLUMN()-2)="~",INDEX(Net_Effect_Vectors!$B$2:$R$10,MATCH($B14,Net_Effect_Vectors!$A$2:$A$10,0),COLUMN()-2)="~"),1,2))</f>
        <v>1</v>
      </c>
      <c r="T14" s="7">
        <f t="shared" si="0"/>
        <v>4</v>
      </c>
      <c r="U14" s="7">
        <f t="shared" si="1"/>
        <v>88.2</v>
      </c>
      <c r="V14" s="7" t="str">
        <f t="shared" si="2"/>
        <v>HIGH COMPATIBILITY</v>
      </c>
      <c r="W14" s="7" t="s">
        <v>61</v>
      </c>
    </row>
    <row r="15" spans="1:23" ht="15" customHeight="1" x14ac:dyDescent="0.25">
      <c r="A15" s="7" t="s">
        <v>46</v>
      </c>
      <c r="B15" s="7" t="s">
        <v>53</v>
      </c>
      <c r="C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1</v>
      </c>
      <c r="D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2</v>
      </c>
      <c r="E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1</v>
      </c>
      <c r="F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2</v>
      </c>
      <c r="G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1</v>
      </c>
      <c r="H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0</v>
      </c>
      <c r="I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2</v>
      </c>
      <c r="J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1</v>
      </c>
      <c r="K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0</v>
      </c>
      <c r="L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2</v>
      </c>
      <c r="M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0</v>
      </c>
      <c r="N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1</v>
      </c>
      <c r="O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1</v>
      </c>
      <c r="P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2</v>
      </c>
      <c r="Q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1</v>
      </c>
      <c r="R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2</v>
      </c>
      <c r="S15" s="7">
        <f>IF(INDEX(Net_Effect_Vectors!$B$2:$R$10,MATCH($A15,Net_Effect_Vectors!$A$2:$A$10,0),COLUMN()-2)=INDEX(Net_Effect_Vectors!$B$2:$R$10,MATCH($B15,Net_Effect_Vectors!$A$2:$A$10,0),COLUMN()-2),0,IF(OR(INDEX(Net_Effect_Vectors!$B$2:$R$10,MATCH($A15,Net_Effect_Vectors!$A$2:$A$10,0),COLUMN()-2)="~",INDEX(Net_Effect_Vectors!$B$2:$R$10,MATCH($B15,Net_Effect_Vectors!$A$2:$A$10,0),COLUMN()-2)="~"),1,2))</f>
        <v>2</v>
      </c>
      <c r="T15" s="7">
        <f t="shared" si="0"/>
        <v>21</v>
      </c>
      <c r="U15" s="7">
        <f t="shared" si="1"/>
        <v>38.200000000000003</v>
      </c>
      <c r="V15" s="7" t="str">
        <f t="shared" si="2"/>
        <v>MODERATE-LOW</v>
      </c>
      <c r="W15" s="7" t="s">
        <v>61</v>
      </c>
    </row>
    <row r="16" spans="1:23" ht="15" customHeight="1" x14ac:dyDescent="0.25">
      <c r="A16" s="7" t="s">
        <v>46</v>
      </c>
      <c r="B16" s="7" t="s">
        <v>54</v>
      </c>
      <c r="C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1</v>
      </c>
      <c r="D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2</v>
      </c>
      <c r="E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2</v>
      </c>
      <c r="F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2</v>
      </c>
      <c r="G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1</v>
      </c>
      <c r="H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0</v>
      </c>
      <c r="I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2</v>
      </c>
      <c r="J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1</v>
      </c>
      <c r="K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1</v>
      </c>
      <c r="L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2</v>
      </c>
      <c r="M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0</v>
      </c>
      <c r="N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0</v>
      </c>
      <c r="O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1</v>
      </c>
      <c r="P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2</v>
      </c>
      <c r="Q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1</v>
      </c>
      <c r="R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2</v>
      </c>
      <c r="S16" s="7">
        <f>IF(INDEX(Net_Effect_Vectors!$B$2:$R$10,MATCH($A16,Net_Effect_Vectors!$A$2:$A$10,0),COLUMN()-2)=INDEX(Net_Effect_Vectors!$B$2:$R$10,MATCH($B16,Net_Effect_Vectors!$A$2:$A$10,0),COLUMN()-2),0,IF(OR(INDEX(Net_Effect_Vectors!$B$2:$R$10,MATCH($A16,Net_Effect_Vectors!$A$2:$A$10,0),COLUMN()-2)="~",INDEX(Net_Effect_Vectors!$B$2:$R$10,MATCH($B16,Net_Effect_Vectors!$A$2:$A$10,0),COLUMN()-2)="~"),1,2))</f>
        <v>2</v>
      </c>
      <c r="T16" s="7">
        <f t="shared" si="0"/>
        <v>22</v>
      </c>
      <c r="U16" s="7">
        <f t="shared" si="1"/>
        <v>35.299999999999997</v>
      </c>
      <c r="V16" s="7" t="str">
        <f t="shared" si="2"/>
        <v>MODERATE-LOW</v>
      </c>
      <c r="W16" s="7" t="s">
        <v>62</v>
      </c>
    </row>
    <row r="17" spans="1:23" ht="15" customHeight="1" x14ac:dyDescent="0.25">
      <c r="A17" s="7" t="s">
        <v>48</v>
      </c>
      <c r="B17" s="7" t="s">
        <v>49</v>
      </c>
      <c r="C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1</v>
      </c>
      <c r="D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0</v>
      </c>
      <c r="E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0</v>
      </c>
      <c r="F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1</v>
      </c>
      <c r="G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0</v>
      </c>
      <c r="H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1</v>
      </c>
      <c r="I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0</v>
      </c>
      <c r="J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1</v>
      </c>
      <c r="K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1</v>
      </c>
      <c r="L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0</v>
      </c>
      <c r="M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1</v>
      </c>
      <c r="N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1</v>
      </c>
      <c r="O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0</v>
      </c>
      <c r="P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1</v>
      </c>
      <c r="Q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0</v>
      </c>
      <c r="R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1</v>
      </c>
      <c r="S17" s="7">
        <f>IF(INDEX(Net_Effect_Vectors!$B$2:$R$10,MATCH($A17,Net_Effect_Vectors!$A$2:$A$10,0),COLUMN()-2)=INDEX(Net_Effect_Vectors!$B$2:$R$10,MATCH($B17,Net_Effect_Vectors!$A$2:$A$10,0),COLUMN()-2),0,IF(OR(INDEX(Net_Effect_Vectors!$B$2:$R$10,MATCH($A17,Net_Effect_Vectors!$A$2:$A$10,0),COLUMN()-2)="~",INDEX(Net_Effect_Vectors!$B$2:$R$10,MATCH($B17,Net_Effect_Vectors!$A$2:$A$10,0),COLUMN()-2)="~"),1,2))</f>
        <v>2</v>
      </c>
      <c r="T17" s="7">
        <f t="shared" si="0"/>
        <v>11</v>
      </c>
      <c r="U17" s="7">
        <f t="shared" si="1"/>
        <v>67.599999999999994</v>
      </c>
      <c r="V17" s="7" t="str">
        <f t="shared" si="2"/>
        <v>MODERATE-HIGH</v>
      </c>
      <c r="W17" s="7" t="s">
        <v>61</v>
      </c>
    </row>
    <row r="18" spans="1:23" ht="15" customHeight="1" x14ac:dyDescent="0.25">
      <c r="A18" s="7" t="s">
        <v>48</v>
      </c>
      <c r="B18" s="7" t="s">
        <v>50</v>
      </c>
      <c r="C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0</v>
      </c>
      <c r="D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0</v>
      </c>
      <c r="E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0</v>
      </c>
      <c r="F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0</v>
      </c>
      <c r="G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0</v>
      </c>
      <c r="H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1</v>
      </c>
      <c r="I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0</v>
      </c>
      <c r="J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1</v>
      </c>
      <c r="K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1</v>
      </c>
      <c r="L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0</v>
      </c>
      <c r="M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1</v>
      </c>
      <c r="N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1</v>
      </c>
      <c r="O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0</v>
      </c>
      <c r="P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1</v>
      </c>
      <c r="Q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0</v>
      </c>
      <c r="R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1</v>
      </c>
      <c r="S18" s="7">
        <f>IF(INDEX(Net_Effect_Vectors!$B$2:$R$10,MATCH($A18,Net_Effect_Vectors!$A$2:$A$10,0),COLUMN()-2)=INDEX(Net_Effect_Vectors!$B$2:$R$10,MATCH($B18,Net_Effect_Vectors!$A$2:$A$10,0),COLUMN()-2),0,IF(OR(INDEX(Net_Effect_Vectors!$B$2:$R$10,MATCH($A18,Net_Effect_Vectors!$A$2:$A$10,0),COLUMN()-2)="~",INDEX(Net_Effect_Vectors!$B$2:$R$10,MATCH($B18,Net_Effect_Vectors!$A$2:$A$10,0),COLUMN()-2)="~"),1,2))</f>
        <v>1</v>
      </c>
      <c r="T18" s="7">
        <f t="shared" si="0"/>
        <v>8</v>
      </c>
      <c r="U18" s="7">
        <f t="shared" si="1"/>
        <v>76.5</v>
      </c>
      <c r="V18" s="7" t="str">
        <f t="shared" si="2"/>
        <v>MODERATE-HIGH</v>
      </c>
      <c r="W18" s="7" t="s">
        <v>61</v>
      </c>
    </row>
    <row r="19" spans="1:23" ht="15" customHeight="1" x14ac:dyDescent="0.25">
      <c r="A19" s="7" t="s">
        <v>48</v>
      </c>
      <c r="B19" s="7" t="s">
        <v>51</v>
      </c>
      <c r="C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1</v>
      </c>
      <c r="D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0</v>
      </c>
      <c r="E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0</v>
      </c>
      <c r="F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1</v>
      </c>
      <c r="G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0</v>
      </c>
      <c r="H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0</v>
      </c>
      <c r="I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0</v>
      </c>
      <c r="J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0</v>
      </c>
      <c r="K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0</v>
      </c>
      <c r="L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0</v>
      </c>
      <c r="M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1</v>
      </c>
      <c r="N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0</v>
      </c>
      <c r="O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0</v>
      </c>
      <c r="P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1</v>
      </c>
      <c r="Q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2</v>
      </c>
      <c r="R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1</v>
      </c>
      <c r="S19" s="7">
        <f>IF(INDEX(Net_Effect_Vectors!$B$2:$R$10,MATCH($A19,Net_Effect_Vectors!$A$2:$A$10,0),COLUMN()-2)=INDEX(Net_Effect_Vectors!$B$2:$R$10,MATCH($B19,Net_Effect_Vectors!$A$2:$A$10,0),COLUMN()-2),0,IF(OR(INDEX(Net_Effect_Vectors!$B$2:$R$10,MATCH($A19,Net_Effect_Vectors!$A$2:$A$10,0),COLUMN()-2)="~",INDEX(Net_Effect_Vectors!$B$2:$R$10,MATCH($B19,Net_Effect_Vectors!$A$2:$A$10,0),COLUMN()-2)="~"),1,2))</f>
        <v>0</v>
      </c>
      <c r="T19" s="7">
        <f t="shared" si="0"/>
        <v>7</v>
      </c>
      <c r="U19" s="7">
        <f t="shared" si="1"/>
        <v>79.400000000000006</v>
      </c>
      <c r="V19" s="7" t="str">
        <f t="shared" si="2"/>
        <v>MODERATE-HIGH</v>
      </c>
      <c r="W19" s="7" t="s">
        <v>61</v>
      </c>
    </row>
    <row r="20" spans="1:23" ht="15" customHeight="1" x14ac:dyDescent="0.25">
      <c r="A20" s="7" t="s">
        <v>48</v>
      </c>
      <c r="B20" s="7" t="s">
        <v>52</v>
      </c>
      <c r="C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1</v>
      </c>
      <c r="D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1</v>
      </c>
      <c r="E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2</v>
      </c>
      <c r="F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1</v>
      </c>
      <c r="G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2</v>
      </c>
      <c r="H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2</v>
      </c>
      <c r="I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2</v>
      </c>
      <c r="J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1</v>
      </c>
      <c r="K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2</v>
      </c>
      <c r="L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2</v>
      </c>
      <c r="M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1</v>
      </c>
      <c r="N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2</v>
      </c>
      <c r="O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2</v>
      </c>
      <c r="P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1</v>
      </c>
      <c r="Q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2</v>
      </c>
      <c r="R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1</v>
      </c>
      <c r="S20" s="7">
        <f>IF(INDEX(Net_Effect_Vectors!$B$2:$R$10,MATCH($A20,Net_Effect_Vectors!$A$2:$A$10,0),COLUMN()-2)=INDEX(Net_Effect_Vectors!$B$2:$R$10,MATCH($B20,Net_Effect_Vectors!$A$2:$A$10,0),COLUMN()-2),0,IF(OR(INDEX(Net_Effect_Vectors!$B$2:$R$10,MATCH($A20,Net_Effect_Vectors!$A$2:$A$10,0),COLUMN()-2)="~",INDEX(Net_Effect_Vectors!$B$2:$R$10,MATCH($B20,Net_Effect_Vectors!$A$2:$A$10,0),COLUMN()-2)="~"),1,2))</f>
        <v>1</v>
      </c>
      <c r="T20" s="7">
        <f t="shared" si="0"/>
        <v>26</v>
      </c>
      <c r="U20" s="7">
        <f t="shared" si="1"/>
        <v>23.5</v>
      </c>
      <c r="V20" s="7" t="str">
        <f t="shared" si="2"/>
        <v>HIGH RISK</v>
      </c>
      <c r="W20" s="7" t="s">
        <v>61</v>
      </c>
    </row>
    <row r="21" spans="1:23" ht="15" customHeight="1" x14ac:dyDescent="0.25">
      <c r="A21" s="7" t="s">
        <v>48</v>
      </c>
      <c r="B21" s="7" t="s">
        <v>53</v>
      </c>
      <c r="C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0</v>
      </c>
      <c r="D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0</v>
      </c>
      <c r="E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1</v>
      </c>
      <c r="F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1</v>
      </c>
      <c r="G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0</v>
      </c>
      <c r="H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2</v>
      </c>
      <c r="I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0</v>
      </c>
      <c r="J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0</v>
      </c>
      <c r="K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1</v>
      </c>
      <c r="L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0</v>
      </c>
      <c r="M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1</v>
      </c>
      <c r="N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1</v>
      </c>
      <c r="O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1</v>
      </c>
      <c r="P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1</v>
      </c>
      <c r="Q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1</v>
      </c>
      <c r="R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1</v>
      </c>
      <c r="S21" s="7">
        <f>IF(INDEX(Net_Effect_Vectors!$B$2:$R$10,MATCH($A21,Net_Effect_Vectors!$A$2:$A$10,0),COLUMN()-2)=INDEX(Net_Effect_Vectors!$B$2:$R$10,MATCH($B21,Net_Effect_Vectors!$A$2:$A$10,0),COLUMN()-2),0,IF(OR(INDEX(Net_Effect_Vectors!$B$2:$R$10,MATCH($A21,Net_Effect_Vectors!$A$2:$A$10,0),COLUMN()-2)="~",INDEX(Net_Effect_Vectors!$B$2:$R$10,MATCH($B21,Net_Effect_Vectors!$A$2:$A$10,0),COLUMN()-2)="~"),1,2))</f>
        <v>2</v>
      </c>
      <c r="T21" s="7">
        <f t="shared" si="0"/>
        <v>13</v>
      </c>
      <c r="U21" s="7">
        <f t="shared" si="1"/>
        <v>61.8</v>
      </c>
      <c r="V21" s="7" t="str">
        <f t="shared" si="2"/>
        <v>MODERATE</v>
      </c>
      <c r="W21" s="7" t="s">
        <v>61</v>
      </c>
    </row>
    <row r="22" spans="1:23" ht="15" customHeight="1" x14ac:dyDescent="0.25">
      <c r="A22" s="7" t="s">
        <v>48</v>
      </c>
      <c r="B22" s="7" t="s">
        <v>54</v>
      </c>
      <c r="C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0</v>
      </c>
      <c r="D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0</v>
      </c>
      <c r="E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0</v>
      </c>
      <c r="F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1</v>
      </c>
      <c r="G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0</v>
      </c>
      <c r="H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2</v>
      </c>
      <c r="I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0</v>
      </c>
      <c r="J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0</v>
      </c>
      <c r="K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0</v>
      </c>
      <c r="L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0</v>
      </c>
      <c r="M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1</v>
      </c>
      <c r="N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2</v>
      </c>
      <c r="O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1</v>
      </c>
      <c r="P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1</v>
      </c>
      <c r="Q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1</v>
      </c>
      <c r="R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1</v>
      </c>
      <c r="S22" s="7">
        <f>IF(INDEX(Net_Effect_Vectors!$B$2:$R$10,MATCH($A22,Net_Effect_Vectors!$A$2:$A$10,0),COLUMN()-2)=INDEX(Net_Effect_Vectors!$B$2:$R$10,MATCH($B22,Net_Effect_Vectors!$A$2:$A$10,0),COLUMN()-2),0,IF(OR(INDEX(Net_Effect_Vectors!$B$2:$R$10,MATCH($A22,Net_Effect_Vectors!$A$2:$A$10,0),COLUMN()-2)="~",INDEX(Net_Effect_Vectors!$B$2:$R$10,MATCH($B22,Net_Effect_Vectors!$A$2:$A$10,0),COLUMN()-2)="~"),1,2))</f>
        <v>2</v>
      </c>
      <c r="T22" s="7">
        <f t="shared" si="0"/>
        <v>12</v>
      </c>
      <c r="U22" s="7">
        <f t="shared" si="1"/>
        <v>64.7</v>
      </c>
      <c r="V22" s="7" t="str">
        <f t="shared" si="2"/>
        <v>MODERATE</v>
      </c>
      <c r="W22" s="7" t="s">
        <v>62</v>
      </c>
    </row>
    <row r="23" spans="1:23" ht="15" customHeight="1" x14ac:dyDescent="0.25">
      <c r="A23" s="7" t="s">
        <v>49</v>
      </c>
      <c r="B23" s="7" t="s">
        <v>50</v>
      </c>
      <c r="C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1</v>
      </c>
      <c r="D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0</v>
      </c>
      <c r="E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0</v>
      </c>
      <c r="F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1</v>
      </c>
      <c r="G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0</v>
      </c>
      <c r="H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0</v>
      </c>
      <c r="I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0</v>
      </c>
      <c r="J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0</v>
      </c>
      <c r="K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0</v>
      </c>
      <c r="L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0</v>
      </c>
      <c r="M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0</v>
      </c>
      <c r="N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0</v>
      </c>
      <c r="O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0</v>
      </c>
      <c r="P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0</v>
      </c>
      <c r="Q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0</v>
      </c>
      <c r="R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0</v>
      </c>
      <c r="S23" s="7">
        <f>IF(INDEX(Net_Effect_Vectors!$B$2:$R$10,MATCH($A23,Net_Effect_Vectors!$A$2:$A$10,0),COLUMN()-2)=INDEX(Net_Effect_Vectors!$B$2:$R$10,MATCH($B23,Net_Effect_Vectors!$A$2:$A$10,0),COLUMN()-2),0,IF(OR(INDEX(Net_Effect_Vectors!$B$2:$R$10,MATCH($A23,Net_Effect_Vectors!$A$2:$A$10,0),COLUMN()-2)="~",INDEX(Net_Effect_Vectors!$B$2:$R$10,MATCH($B23,Net_Effect_Vectors!$A$2:$A$10,0),COLUMN()-2)="~"),1,2))</f>
        <v>1</v>
      </c>
      <c r="T23" s="7">
        <f t="shared" si="0"/>
        <v>3</v>
      </c>
      <c r="U23" s="7">
        <f t="shared" si="1"/>
        <v>91.2</v>
      </c>
      <c r="V23" s="7" t="str">
        <f t="shared" si="2"/>
        <v>HIGH COMPATIBILITY</v>
      </c>
      <c r="W23" s="7" t="s">
        <v>61</v>
      </c>
    </row>
    <row r="24" spans="1:23" ht="15" customHeight="1" x14ac:dyDescent="0.25">
      <c r="A24" s="7" t="s">
        <v>49</v>
      </c>
      <c r="B24" s="7" t="s">
        <v>51</v>
      </c>
      <c r="C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0</v>
      </c>
      <c r="D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0</v>
      </c>
      <c r="E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0</v>
      </c>
      <c r="F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0</v>
      </c>
      <c r="G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0</v>
      </c>
      <c r="H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1</v>
      </c>
      <c r="I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0</v>
      </c>
      <c r="J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1</v>
      </c>
      <c r="K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1</v>
      </c>
      <c r="L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0</v>
      </c>
      <c r="M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2</v>
      </c>
      <c r="N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1</v>
      </c>
      <c r="O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0</v>
      </c>
      <c r="P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2</v>
      </c>
      <c r="Q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2</v>
      </c>
      <c r="R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2</v>
      </c>
      <c r="S24" s="7">
        <f>IF(INDEX(Net_Effect_Vectors!$B$2:$R$10,MATCH($A24,Net_Effect_Vectors!$A$2:$A$10,0),COLUMN()-2)=INDEX(Net_Effect_Vectors!$B$2:$R$10,MATCH($B24,Net_Effect_Vectors!$A$2:$A$10,0),COLUMN()-2),0,IF(OR(INDEX(Net_Effect_Vectors!$B$2:$R$10,MATCH($A24,Net_Effect_Vectors!$A$2:$A$10,0),COLUMN()-2)="~",INDEX(Net_Effect_Vectors!$B$2:$R$10,MATCH($B24,Net_Effect_Vectors!$A$2:$A$10,0),COLUMN()-2)="~"),1,2))</f>
        <v>2</v>
      </c>
      <c r="T24" s="7">
        <f t="shared" si="0"/>
        <v>14</v>
      </c>
      <c r="U24" s="7">
        <f t="shared" si="1"/>
        <v>58.8</v>
      </c>
      <c r="V24" s="7" t="str">
        <f t="shared" si="2"/>
        <v>MODERATE</v>
      </c>
      <c r="W24" s="7" t="s">
        <v>61</v>
      </c>
    </row>
    <row r="25" spans="1:23" ht="15" customHeight="1" x14ac:dyDescent="0.25">
      <c r="A25" s="7" t="s">
        <v>49</v>
      </c>
      <c r="B25" s="7" t="s">
        <v>52</v>
      </c>
      <c r="C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2</v>
      </c>
      <c r="D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1</v>
      </c>
      <c r="E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2</v>
      </c>
      <c r="F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2</v>
      </c>
      <c r="G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2</v>
      </c>
      <c r="H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1</v>
      </c>
      <c r="I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2</v>
      </c>
      <c r="J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2</v>
      </c>
      <c r="K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1</v>
      </c>
      <c r="L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2</v>
      </c>
      <c r="M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2</v>
      </c>
      <c r="N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1</v>
      </c>
      <c r="O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2</v>
      </c>
      <c r="P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2</v>
      </c>
      <c r="Q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2</v>
      </c>
      <c r="R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2</v>
      </c>
      <c r="S25" s="7">
        <f>IF(INDEX(Net_Effect_Vectors!$B$2:$R$10,MATCH($A25,Net_Effect_Vectors!$A$2:$A$10,0),COLUMN()-2)=INDEX(Net_Effect_Vectors!$B$2:$R$10,MATCH($B25,Net_Effect_Vectors!$A$2:$A$10,0),COLUMN()-2),0,IF(OR(INDEX(Net_Effect_Vectors!$B$2:$R$10,MATCH($A25,Net_Effect_Vectors!$A$2:$A$10,0),COLUMN()-2)="~",INDEX(Net_Effect_Vectors!$B$2:$R$10,MATCH($B25,Net_Effect_Vectors!$A$2:$A$10,0),COLUMN()-2)="~"),1,2))</f>
        <v>1</v>
      </c>
      <c r="T25" s="7">
        <f t="shared" si="0"/>
        <v>29</v>
      </c>
      <c r="U25" s="7">
        <f t="shared" si="1"/>
        <v>14.7</v>
      </c>
      <c r="V25" s="7" t="str">
        <f t="shared" si="2"/>
        <v>HIGH RISK</v>
      </c>
      <c r="W25" s="7" t="s">
        <v>61</v>
      </c>
    </row>
    <row r="26" spans="1:23" ht="15" customHeight="1" x14ac:dyDescent="0.25">
      <c r="A26" s="7" t="s">
        <v>49</v>
      </c>
      <c r="B26" s="7" t="s">
        <v>53</v>
      </c>
      <c r="C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1</v>
      </c>
      <c r="D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0</v>
      </c>
      <c r="E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1</v>
      </c>
      <c r="F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0</v>
      </c>
      <c r="G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0</v>
      </c>
      <c r="H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1</v>
      </c>
      <c r="I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0</v>
      </c>
      <c r="J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1</v>
      </c>
      <c r="K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0</v>
      </c>
      <c r="L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0</v>
      </c>
      <c r="M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2</v>
      </c>
      <c r="N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0</v>
      </c>
      <c r="O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1</v>
      </c>
      <c r="P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0</v>
      </c>
      <c r="Q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1</v>
      </c>
      <c r="R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0</v>
      </c>
      <c r="S26" s="7">
        <f>IF(INDEX(Net_Effect_Vectors!$B$2:$R$10,MATCH($A26,Net_Effect_Vectors!$A$2:$A$10,0),COLUMN()-2)=INDEX(Net_Effect_Vectors!$B$2:$R$10,MATCH($B26,Net_Effect_Vectors!$A$2:$A$10,0),COLUMN()-2),0,IF(OR(INDEX(Net_Effect_Vectors!$B$2:$R$10,MATCH($A26,Net_Effect_Vectors!$A$2:$A$10,0),COLUMN()-2)="~",INDEX(Net_Effect_Vectors!$B$2:$R$10,MATCH($B26,Net_Effect_Vectors!$A$2:$A$10,0),COLUMN()-2)="~"),1,2))</f>
        <v>0</v>
      </c>
      <c r="T26" s="7">
        <f t="shared" si="0"/>
        <v>8</v>
      </c>
      <c r="U26" s="7">
        <f t="shared" si="1"/>
        <v>76.5</v>
      </c>
      <c r="V26" s="7" t="str">
        <f t="shared" si="2"/>
        <v>MODERATE-HIGH</v>
      </c>
      <c r="W26" s="7" t="s">
        <v>61</v>
      </c>
    </row>
    <row r="27" spans="1:23" ht="15" customHeight="1" x14ac:dyDescent="0.25">
      <c r="A27" s="7" t="s">
        <v>49</v>
      </c>
      <c r="B27" s="7" t="s">
        <v>54</v>
      </c>
      <c r="C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1</v>
      </c>
      <c r="D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0</v>
      </c>
      <c r="E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0</v>
      </c>
      <c r="F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0</v>
      </c>
      <c r="G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0</v>
      </c>
      <c r="H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1</v>
      </c>
      <c r="I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0</v>
      </c>
      <c r="J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1</v>
      </c>
      <c r="K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1</v>
      </c>
      <c r="L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0</v>
      </c>
      <c r="M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2</v>
      </c>
      <c r="N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1</v>
      </c>
      <c r="O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1</v>
      </c>
      <c r="P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0</v>
      </c>
      <c r="Q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1</v>
      </c>
      <c r="R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0</v>
      </c>
      <c r="S27" s="7">
        <f>IF(INDEX(Net_Effect_Vectors!$B$2:$R$10,MATCH($A27,Net_Effect_Vectors!$A$2:$A$10,0),COLUMN()-2)=INDEX(Net_Effect_Vectors!$B$2:$R$10,MATCH($B27,Net_Effect_Vectors!$A$2:$A$10,0),COLUMN()-2),0,IF(OR(INDEX(Net_Effect_Vectors!$B$2:$R$10,MATCH($A27,Net_Effect_Vectors!$A$2:$A$10,0),COLUMN()-2)="~",INDEX(Net_Effect_Vectors!$B$2:$R$10,MATCH($B27,Net_Effect_Vectors!$A$2:$A$10,0),COLUMN()-2)="~"),1,2))</f>
        <v>0</v>
      </c>
      <c r="T27" s="7">
        <f t="shared" si="0"/>
        <v>9</v>
      </c>
      <c r="U27" s="7">
        <f t="shared" si="1"/>
        <v>73.5</v>
      </c>
      <c r="V27" s="7" t="str">
        <f t="shared" si="2"/>
        <v>MODERATE-HIGH</v>
      </c>
      <c r="W27" s="7" t="s">
        <v>62</v>
      </c>
    </row>
    <row r="28" spans="1:23" ht="15" customHeight="1" x14ac:dyDescent="0.25">
      <c r="A28" s="7" t="s">
        <v>50</v>
      </c>
      <c r="B28" s="7" t="s">
        <v>51</v>
      </c>
      <c r="C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1</v>
      </c>
      <c r="D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0</v>
      </c>
      <c r="E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0</v>
      </c>
      <c r="F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1</v>
      </c>
      <c r="G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0</v>
      </c>
      <c r="H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1</v>
      </c>
      <c r="I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0</v>
      </c>
      <c r="J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1</v>
      </c>
      <c r="K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1</v>
      </c>
      <c r="L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0</v>
      </c>
      <c r="M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2</v>
      </c>
      <c r="N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1</v>
      </c>
      <c r="O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0</v>
      </c>
      <c r="P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2</v>
      </c>
      <c r="Q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2</v>
      </c>
      <c r="R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2</v>
      </c>
      <c r="S28" s="7">
        <f>IF(INDEX(Net_Effect_Vectors!$B$2:$R$10,MATCH($A28,Net_Effect_Vectors!$A$2:$A$10,0),COLUMN()-2)=INDEX(Net_Effect_Vectors!$B$2:$R$10,MATCH($B28,Net_Effect_Vectors!$A$2:$A$10,0),COLUMN()-2),0,IF(OR(INDEX(Net_Effect_Vectors!$B$2:$R$10,MATCH($A28,Net_Effect_Vectors!$A$2:$A$10,0),COLUMN()-2)="~",INDEX(Net_Effect_Vectors!$B$2:$R$10,MATCH($B28,Net_Effect_Vectors!$A$2:$A$10,0),COLUMN()-2)="~"),1,2))</f>
        <v>1</v>
      </c>
      <c r="T28" s="7">
        <f t="shared" si="0"/>
        <v>15</v>
      </c>
      <c r="U28" s="7">
        <f t="shared" si="1"/>
        <v>55.9</v>
      </c>
      <c r="V28" s="7" t="str">
        <f t="shared" si="2"/>
        <v>MODERATE</v>
      </c>
      <c r="W28" s="7" t="s">
        <v>61</v>
      </c>
    </row>
    <row r="29" spans="1:23" ht="15" customHeight="1" x14ac:dyDescent="0.25">
      <c r="A29" s="7" t="s">
        <v>50</v>
      </c>
      <c r="B29" s="7" t="s">
        <v>52</v>
      </c>
      <c r="C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1</v>
      </c>
      <c r="D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1</v>
      </c>
      <c r="E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2</v>
      </c>
      <c r="F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1</v>
      </c>
      <c r="G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2</v>
      </c>
      <c r="H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1</v>
      </c>
      <c r="I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2</v>
      </c>
      <c r="J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2</v>
      </c>
      <c r="K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1</v>
      </c>
      <c r="L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2</v>
      </c>
      <c r="M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2</v>
      </c>
      <c r="N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1</v>
      </c>
      <c r="O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2</v>
      </c>
      <c r="P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2</v>
      </c>
      <c r="Q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2</v>
      </c>
      <c r="R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2</v>
      </c>
      <c r="S29" s="7">
        <f>IF(INDEX(Net_Effect_Vectors!$B$2:$R$10,MATCH($A29,Net_Effect_Vectors!$A$2:$A$10,0),COLUMN()-2)=INDEX(Net_Effect_Vectors!$B$2:$R$10,MATCH($B29,Net_Effect_Vectors!$A$2:$A$10,0),COLUMN()-2),0,IF(OR(INDEX(Net_Effect_Vectors!$B$2:$R$10,MATCH($A29,Net_Effect_Vectors!$A$2:$A$10,0),COLUMN()-2)="~",INDEX(Net_Effect_Vectors!$B$2:$R$10,MATCH($B29,Net_Effect_Vectors!$A$2:$A$10,0),COLUMN()-2)="~"),1,2))</f>
        <v>0</v>
      </c>
      <c r="T29" s="7">
        <f t="shared" si="0"/>
        <v>26</v>
      </c>
      <c r="U29" s="7">
        <f t="shared" si="1"/>
        <v>23.5</v>
      </c>
      <c r="V29" s="7" t="str">
        <f t="shared" si="2"/>
        <v>HIGH RISK</v>
      </c>
      <c r="W29" s="7" t="s">
        <v>61</v>
      </c>
    </row>
    <row r="30" spans="1:23" ht="15" customHeight="1" x14ac:dyDescent="0.25">
      <c r="A30" s="7" t="s">
        <v>50</v>
      </c>
      <c r="B30" s="7" t="s">
        <v>53</v>
      </c>
      <c r="C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0</v>
      </c>
      <c r="D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0</v>
      </c>
      <c r="E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1</v>
      </c>
      <c r="F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1</v>
      </c>
      <c r="G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0</v>
      </c>
      <c r="H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1</v>
      </c>
      <c r="I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0</v>
      </c>
      <c r="J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1</v>
      </c>
      <c r="K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0</v>
      </c>
      <c r="L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0</v>
      </c>
      <c r="M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2</v>
      </c>
      <c r="N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0</v>
      </c>
      <c r="O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1</v>
      </c>
      <c r="P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0</v>
      </c>
      <c r="Q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1</v>
      </c>
      <c r="R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0</v>
      </c>
      <c r="S30" s="7">
        <f>IF(INDEX(Net_Effect_Vectors!$B$2:$R$10,MATCH($A30,Net_Effect_Vectors!$A$2:$A$10,0),COLUMN()-2)=INDEX(Net_Effect_Vectors!$B$2:$R$10,MATCH($B30,Net_Effect_Vectors!$A$2:$A$10,0),COLUMN()-2),0,IF(OR(INDEX(Net_Effect_Vectors!$B$2:$R$10,MATCH($A30,Net_Effect_Vectors!$A$2:$A$10,0),COLUMN()-2)="~",INDEX(Net_Effect_Vectors!$B$2:$R$10,MATCH($B30,Net_Effect_Vectors!$A$2:$A$10,0),COLUMN()-2)="~"),1,2))</f>
        <v>1</v>
      </c>
      <c r="T30" s="7">
        <f t="shared" si="0"/>
        <v>9</v>
      </c>
      <c r="U30" s="7">
        <f t="shared" si="1"/>
        <v>73.5</v>
      </c>
      <c r="V30" s="7" t="str">
        <f t="shared" si="2"/>
        <v>MODERATE-HIGH</v>
      </c>
      <c r="W30" s="7" t="s">
        <v>61</v>
      </c>
    </row>
    <row r="31" spans="1:23" ht="15" customHeight="1" x14ac:dyDescent="0.25">
      <c r="A31" s="7" t="s">
        <v>50</v>
      </c>
      <c r="B31" s="7" t="s">
        <v>54</v>
      </c>
      <c r="C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0</v>
      </c>
      <c r="D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0</v>
      </c>
      <c r="E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0</v>
      </c>
      <c r="F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1</v>
      </c>
      <c r="G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0</v>
      </c>
      <c r="H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1</v>
      </c>
      <c r="I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0</v>
      </c>
      <c r="J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1</v>
      </c>
      <c r="K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1</v>
      </c>
      <c r="L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0</v>
      </c>
      <c r="M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2</v>
      </c>
      <c r="N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1</v>
      </c>
      <c r="O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1</v>
      </c>
      <c r="P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0</v>
      </c>
      <c r="Q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1</v>
      </c>
      <c r="R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0</v>
      </c>
      <c r="S31" s="7">
        <f>IF(INDEX(Net_Effect_Vectors!$B$2:$R$10,MATCH($A31,Net_Effect_Vectors!$A$2:$A$10,0),COLUMN()-2)=INDEX(Net_Effect_Vectors!$B$2:$R$10,MATCH($B31,Net_Effect_Vectors!$A$2:$A$10,0),COLUMN()-2),0,IF(OR(INDEX(Net_Effect_Vectors!$B$2:$R$10,MATCH($A31,Net_Effect_Vectors!$A$2:$A$10,0),COLUMN()-2)="~",INDEX(Net_Effect_Vectors!$B$2:$R$10,MATCH($B31,Net_Effect_Vectors!$A$2:$A$10,0),COLUMN()-2)="~"),1,2))</f>
        <v>1</v>
      </c>
      <c r="T31" s="7">
        <f t="shared" si="0"/>
        <v>10</v>
      </c>
      <c r="U31" s="7">
        <f t="shared" si="1"/>
        <v>70.599999999999994</v>
      </c>
      <c r="V31" s="7" t="str">
        <f t="shared" si="2"/>
        <v>MODERATE-HIGH</v>
      </c>
      <c r="W31" s="7" t="s">
        <v>62</v>
      </c>
    </row>
    <row r="32" spans="1:23" ht="15" customHeight="1" x14ac:dyDescent="0.25">
      <c r="A32" s="7" t="s">
        <v>51</v>
      </c>
      <c r="B32" s="7" t="s">
        <v>52</v>
      </c>
      <c r="C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2</v>
      </c>
      <c r="D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1</v>
      </c>
      <c r="E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2</v>
      </c>
      <c r="F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2</v>
      </c>
      <c r="G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2</v>
      </c>
      <c r="H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2</v>
      </c>
      <c r="I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2</v>
      </c>
      <c r="J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1</v>
      </c>
      <c r="K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2</v>
      </c>
      <c r="L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2</v>
      </c>
      <c r="M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0</v>
      </c>
      <c r="N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2</v>
      </c>
      <c r="O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2</v>
      </c>
      <c r="P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0</v>
      </c>
      <c r="Q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0</v>
      </c>
      <c r="R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0</v>
      </c>
      <c r="S32" s="7">
        <f>IF(INDEX(Net_Effect_Vectors!$B$2:$R$10,MATCH($A32,Net_Effect_Vectors!$A$2:$A$10,0),COLUMN()-2)=INDEX(Net_Effect_Vectors!$B$2:$R$10,MATCH($B32,Net_Effect_Vectors!$A$2:$A$10,0),COLUMN()-2),0,IF(OR(INDEX(Net_Effect_Vectors!$B$2:$R$10,MATCH($A32,Net_Effect_Vectors!$A$2:$A$10,0),COLUMN()-2)="~",INDEX(Net_Effect_Vectors!$B$2:$R$10,MATCH($B32,Net_Effect_Vectors!$A$2:$A$10,0),COLUMN()-2)="~"),1,2))</f>
        <v>1</v>
      </c>
      <c r="T32" s="7">
        <f t="shared" si="0"/>
        <v>23</v>
      </c>
      <c r="U32" s="7">
        <f t="shared" si="1"/>
        <v>32.4</v>
      </c>
      <c r="V32" s="7" t="str">
        <f t="shared" si="2"/>
        <v>HIGH RISK</v>
      </c>
      <c r="W32" s="7" t="s">
        <v>61</v>
      </c>
    </row>
    <row r="33" spans="1:23" ht="15" customHeight="1" x14ac:dyDescent="0.25">
      <c r="A33" s="7" t="s">
        <v>51</v>
      </c>
      <c r="B33" s="7" t="s">
        <v>53</v>
      </c>
      <c r="C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1</v>
      </c>
      <c r="D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0</v>
      </c>
      <c r="E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1</v>
      </c>
      <c r="F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0</v>
      </c>
      <c r="G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0</v>
      </c>
      <c r="H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2</v>
      </c>
      <c r="I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0</v>
      </c>
      <c r="J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0</v>
      </c>
      <c r="K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1</v>
      </c>
      <c r="L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0</v>
      </c>
      <c r="M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0</v>
      </c>
      <c r="N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1</v>
      </c>
      <c r="O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1</v>
      </c>
      <c r="P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2</v>
      </c>
      <c r="Q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1</v>
      </c>
      <c r="R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2</v>
      </c>
      <c r="S33" s="7">
        <f>IF(INDEX(Net_Effect_Vectors!$B$2:$R$10,MATCH($A33,Net_Effect_Vectors!$A$2:$A$10,0),COLUMN()-2)=INDEX(Net_Effect_Vectors!$B$2:$R$10,MATCH($B33,Net_Effect_Vectors!$A$2:$A$10,0),COLUMN()-2),0,IF(OR(INDEX(Net_Effect_Vectors!$B$2:$R$10,MATCH($A33,Net_Effect_Vectors!$A$2:$A$10,0),COLUMN()-2)="~",INDEX(Net_Effect_Vectors!$B$2:$R$10,MATCH($B33,Net_Effect_Vectors!$A$2:$A$10,0),COLUMN()-2)="~"),1,2))</f>
        <v>2</v>
      </c>
      <c r="T33" s="7">
        <f t="shared" si="0"/>
        <v>14</v>
      </c>
      <c r="U33" s="7">
        <f t="shared" si="1"/>
        <v>58.8</v>
      </c>
      <c r="V33" s="7" t="str">
        <f t="shared" si="2"/>
        <v>MODERATE</v>
      </c>
      <c r="W33" s="7" t="s">
        <v>61</v>
      </c>
    </row>
    <row r="34" spans="1:23" ht="15" customHeight="1" x14ac:dyDescent="0.25">
      <c r="A34" s="7" t="s">
        <v>51</v>
      </c>
      <c r="B34" s="7" t="s">
        <v>54</v>
      </c>
      <c r="C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1</v>
      </c>
      <c r="D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0</v>
      </c>
      <c r="E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0</v>
      </c>
      <c r="F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0</v>
      </c>
      <c r="G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0</v>
      </c>
      <c r="H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2</v>
      </c>
      <c r="I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0</v>
      </c>
      <c r="J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0</v>
      </c>
      <c r="K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0</v>
      </c>
      <c r="L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0</v>
      </c>
      <c r="M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0</v>
      </c>
      <c r="N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2</v>
      </c>
      <c r="O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1</v>
      </c>
      <c r="P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2</v>
      </c>
      <c r="Q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1</v>
      </c>
      <c r="R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2</v>
      </c>
      <c r="S34" s="7">
        <f>IF(INDEX(Net_Effect_Vectors!$B$2:$R$10,MATCH($A34,Net_Effect_Vectors!$A$2:$A$10,0),COLUMN()-2)=INDEX(Net_Effect_Vectors!$B$2:$R$10,MATCH($B34,Net_Effect_Vectors!$A$2:$A$10,0),COLUMN()-2),0,IF(OR(INDEX(Net_Effect_Vectors!$B$2:$R$10,MATCH($A34,Net_Effect_Vectors!$A$2:$A$10,0),COLUMN()-2)="~",INDEX(Net_Effect_Vectors!$B$2:$R$10,MATCH($B34,Net_Effect_Vectors!$A$2:$A$10,0),COLUMN()-2)="~"),1,2))</f>
        <v>2</v>
      </c>
      <c r="T34" s="7">
        <f t="shared" si="0"/>
        <v>13</v>
      </c>
      <c r="U34" s="7">
        <f t="shared" si="1"/>
        <v>61.8</v>
      </c>
      <c r="V34" s="7" t="str">
        <f t="shared" si="2"/>
        <v>MODERATE</v>
      </c>
      <c r="W34" s="7" t="s">
        <v>62</v>
      </c>
    </row>
    <row r="35" spans="1:23" ht="15" customHeight="1" x14ac:dyDescent="0.25">
      <c r="A35" s="7" t="s">
        <v>52</v>
      </c>
      <c r="B35" s="7" t="s">
        <v>53</v>
      </c>
      <c r="C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1</v>
      </c>
      <c r="D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1</v>
      </c>
      <c r="E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1</v>
      </c>
      <c r="F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2</v>
      </c>
      <c r="G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2</v>
      </c>
      <c r="H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0</v>
      </c>
      <c r="I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2</v>
      </c>
      <c r="J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1</v>
      </c>
      <c r="K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1</v>
      </c>
      <c r="L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2</v>
      </c>
      <c r="M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0</v>
      </c>
      <c r="N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1</v>
      </c>
      <c r="O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1</v>
      </c>
      <c r="P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2</v>
      </c>
      <c r="Q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1</v>
      </c>
      <c r="R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2</v>
      </c>
      <c r="S35" s="7">
        <f>IF(INDEX(Net_Effect_Vectors!$B$2:$R$10,MATCH($A35,Net_Effect_Vectors!$A$2:$A$10,0),COLUMN()-2)=INDEX(Net_Effect_Vectors!$B$2:$R$10,MATCH($B35,Net_Effect_Vectors!$A$2:$A$10,0),COLUMN()-2),0,IF(OR(INDEX(Net_Effect_Vectors!$B$2:$R$10,MATCH($A35,Net_Effect_Vectors!$A$2:$A$10,0),COLUMN()-2)="~",INDEX(Net_Effect_Vectors!$B$2:$R$10,MATCH($B35,Net_Effect_Vectors!$A$2:$A$10,0),COLUMN()-2)="~"),1,2))</f>
        <v>1</v>
      </c>
      <c r="T35" s="7">
        <f t="shared" si="0"/>
        <v>21</v>
      </c>
      <c r="U35" s="7">
        <f t="shared" si="1"/>
        <v>38.200000000000003</v>
      </c>
      <c r="V35" s="7" t="str">
        <f t="shared" si="2"/>
        <v>MODERATE-LOW</v>
      </c>
      <c r="W35" s="7" t="s">
        <v>61</v>
      </c>
    </row>
    <row r="36" spans="1:23" ht="15" customHeight="1" x14ac:dyDescent="0.25">
      <c r="A36" s="7" t="s">
        <v>52</v>
      </c>
      <c r="B36" s="7" t="s">
        <v>54</v>
      </c>
      <c r="C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1</v>
      </c>
      <c r="D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1</v>
      </c>
      <c r="E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2</v>
      </c>
      <c r="F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2</v>
      </c>
      <c r="G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2</v>
      </c>
      <c r="H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0</v>
      </c>
      <c r="I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2</v>
      </c>
      <c r="J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1</v>
      </c>
      <c r="K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2</v>
      </c>
      <c r="L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2</v>
      </c>
      <c r="M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0</v>
      </c>
      <c r="N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0</v>
      </c>
      <c r="O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1</v>
      </c>
      <c r="P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2</v>
      </c>
      <c r="Q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1</v>
      </c>
      <c r="R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2</v>
      </c>
      <c r="S36" s="7">
        <f>IF(INDEX(Net_Effect_Vectors!$B$2:$R$10,MATCH($A36,Net_Effect_Vectors!$A$2:$A$10,0),COLUMN()-2)=INDEX(Net_Effect_Vectors!$B$2:$R$10,MATCH($B36,Net_Effect_Vectors!$A$2:$A$10,0),COLUMN()-2),0,IF(OR(INDEX(Net_Effect_Vectors!$B$2:$R$10,MATCH($A36,Net_Effect_Vectors!$A$2:$A$10,0),COLUMN()-2)="~",INDEX(Net_Effect_Vectors!$B$2:$R$10,MATCH($B36,Net_Effect_Vectors!$A$2:$A$10,0),COLUMN()-2)="~"),1,2))</f>
        <v>1</v>
      </c>
      <c r="T36" s="7">
        <f t="shared" si="0"/>
        <v>22</v>
      </c>
      <c r="U36" s="7">
        <f t="shared" si="1"/>
        <v>35.299999999999997</v>
      </c>
      <c r="V36" s="7" t="str">
        <f t="shared" si="2"/>
        <v>MODERATE-LOW</v>
      </c>
      <c r="W36" s="7" t="s">
        <v>62</v>
      </c>
    </row>
    <row r="37" spans="1:23" ht="15" customHeight="1" x14ac:dyDescent="0.25">
      <c r="A37" s="7" t="s">
        <v>53</v>
      </c>
      <c r="B37" s="7" t="s">
        <v>54</v>
      </c>
      <c r="C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0</v>
      </c>
      <c r="D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0</v>
      </c>
      <c r="E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1</v>
      </c>
      <c r="F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0</v>
      </c>
      <c r="G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0</v>
      </c>
      <c r="H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0</v>
      </c>
      <c r="I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0</v>
      </c>
      <c r="J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0</v>
      </c>
      <c r="K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1</v>
      </c>
      <c r="L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0</v>
      </c>
      <c r="M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0</v>
      </c>
      <c r="N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1</v>
      </c>
      <c r="O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0</v>
      </c>
      <c r="P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0</v>
      </c>
      <c r="Q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0</v>
      </c>
      <c r="R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0</v>
      </c>
      <c r="S37" s="7">
        <f>IF(INDEX(Net_Effect_Vectors!$B$2:$R$10,MATCH($A37,Net_Effect_Vectors!$A$2:$A$10,0),COLUMN()-2)=INDEX(Net_Effect_Vectors!$B$2:$R$10,MATCH($B37,Net_Effect_Vectors!$A$2:$A$10,0),COLUMN()-2),0,IF(OR(INDEX(Net_Effect_Vectors!$B$2:$R$10,MATCH($A37,Net_Effect_Vectors!$A$2:$A$10,0),COLUMN()-2)="~",INDEX(Net_Effect_Vectors!$B$2:$R$10,MATCH($B37,Net_Effect_Vectors!$A$2:$A$10,0),COLUMN()-2)="~"),1,2))</f>
        <v>0</v>
      </c>
      <c r="T37" s="7">
        <f t="shared" si="0"/>
        <v>3</v>
      </c>
      <c r="U37" s="7">
        <f t="shared" si="1"/>
        <v>91.2</v>
      </c>
      <c r="V37" s="7" t="str">
        <f t="shared" si="2"/>
        <v>HIGH COMPATIBILITY</v>
      </c>
      <c r="W37" s="7" t="s">
        <v>62</v>
      </c>
    </row>
    <row r="39" spans="1:23" ht="15" customHeight="1" x14ac:dyDescent="0.25">
      <c r="A39" s="7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zoomScaleNormal="100" workbookViewId="0"/>
  </sheetViews>
  <sheetFormatPr defaultColWidth="8.7109375" defaultRowHeight="15" x14ac:dyDescent="0.25"/>
  <cols>
    <col min="1" max="2" width="14" style="1" customWidth="1"/>
    <col min="3" max="3" width="40" style="1" customWidth="1"/>
    <col min="4" max="6" width="14" style="1" customWidth="1"/>
  </cols>
  <sheetData>
    <row r="1" spans="1:6" ht="39" customHeight="1" x14ac:dyDescent="0.25">
      <c r="A1" s="6" t="s">
        <v>56</v>
      </c>
      <c r="B1" s="6" t="s">
        <v>57</v>
      </c>
      <c r="C1" s="6" t="s">
        <v>64</v>
      </c>
      <c r="D1" s="6" t="s">
        <v>65</v>
      </c>
      <c r="E1" s="6" t="s">
        <v>66</v>
      </c>
      <c r="F1" s="6" t="s">
        <v>67</v>
      </c>
    </row>
    <row r="2" spans="1:6" ht="15" customHeight="1" x14ac:dyDescent="0.25">
      <c r="A2" s="7" t="s">
        <v>43</v>
      </c>
      <c r="B2" s="7" t="s">
        <v>46</v>
      </c>
      <c r="C2" s="9">
        <v>17.600000000000001</v>
      </c>
      <c r="D2" s="10">
        <f>Pair_Computation!U2</f>
        <v>17.600000000000001</v>
      </c>
      <c r="E2" s="7">
        <f t="shared" ref="E2:E29" si="0">ROUND(D2-C2,1)</f>
        <v>0</v>
      </c>
      <c r="F2" s="7" t="str">
        <f t="shared" ref="F2:F29" si="1">IF(E2=0,"PASS","FAIL")</f>
        <v>PASS</v>
      </c>
    </row>
    <row r="3" spans="1:6" ht="15" customHeight="1" x14ac:dyDescent="0.25">
      <c r="A3" s="7" t="s">
        <v>43</v>
      </c>
      <c r="B3" s="7" t="s">
        <v>48</v>
      </c>
      <c r="C3" s="9">
        <v>82.4</v>
      </c>
      <c r="D3" s="10">
        <f>Pair_Computation!U3</f>
        <v>82.4</v>
      </c>
      <c r="E3" s="7">
        <f t="shared" si="0"/>
        <v>0</v>
      </c>
      <c r="F3" s="7" t="str">
        <f t="shared" si="1"/>
        <v>PASS</v>
      </c>
    </row>
    <row r="4" spans="1:6" ht="15" customHeight="1" x14ac:dyDescent="0.25">
      <c r="A4" s="7" t="s">
        <v>43</v>
      </c>
      <c r="B4" s="7" t="s">
        <v>49</v>
      </c>
      <c r="C4" s="9">
        <v>85.3</v>
      </c>
      <c r="D4" s="10">
        <f>Pair_Computation!U4</f>
        <v>85.3</v>
      </c>
      <c r="E4" s="7">
        <f t="shared" si="0"/>
        <v>0</v>
      </c>
      <c r="F4" s="7" t="str">
        <f t="shared" si="1"/>
        <v>PASS</v>
      </c>
    </row>
    <row r="5" spans="1:6" ht="15" customHeight="1" x14ac:dyDescent="0.25">
      <c r="A5" s="7" t="s">
        <v>43</v>
      </c>
      <c r="B5" s="7" t="s">
        <v>50</v>
      </c>
      <c r="C5" s="9">
        <v>88.2</v>
      </c>
      <c r="D5" s="10">
        <f>Pair_Computation!U5</f>
        <v>88.2</v>
      </c>
      <c r="E5" s="7">
        <f t="shared" si="0"/>
        <v>0</v>
      </c>
      <c r="F5" s="7" t="str">
        <f t="shared" si="1"/>
        <v>PASS</v>
      </c>
    </row>
    <row r="6" spans="1:6" ht="15" customHeight="1" x14ac:dyDescent="0.25">
      <c r="A6" s="7" t="s">
        <v>43</v>
      </c>
      <c r="B6" s="7" t="s">
        <v>51</v>
      </c>
      <c r="C6" s="9">
        <v>67.599999999999994</v>
      </c>
      <c r="D6" s="10">
        <f>Pair_Computation!U6</f>
        <v>67.599999999999994</v>
      </c>
      <c r="E6" s="7">
        <f t="shared" si="0"/>
        <v>0</v>
      </c>
      <c r="F6" s="7" t="str">
        <f t="shared" si="1"/>
        <v>PASS</v>
      </c>
    </row>
    <row r="7" spans="1:6" ht="15" customHeight="1" x14ac:dyDescent="0.25">
      <c r="A7" s="7" t="s">
        <v>43</v>
      </c>
      <c r="B7" s="7" t="s">
        <v>52</v>
      </c>
      <c r="C7" s="9">
        <v>17.600000000000001</v>
      </c>
      <c r="D7" s="10">
        <f>Pair_Computation!U7</f>
        <v>17.600000000000001</v>
      </c>
      <c r="E7" s="7">
        <f t="shared" si="0"/>
        <v>0</v>
      </c>
      <c r="F7" s="7" t="str">
        <f t="shared" si="1"/>
        <v>PASS</v>
      </c>
    </row>
    <row r="8" spans="1:6" ht="15" customHeight="1" x14ac:dyDescent="0.25">
      <c r="A8" s="7" t="s">
        <v>43</v>
      </c>
      <c r="B8" s="7" t="s">
        <v>53</v>
      </c>
      <c r="C8" s="9">
        <v>61.8</v>
      </c>
      <c r="D8" s="10">
        <f>Pair_Computation!U8</f>
        <v>61.8</v>
      </c>
      <c r="E8" s="7">
        <f t="shared" si="0"/>
        <v>0</v>
      </c>
      <c r="F8" s="7" t="str">
        <f t="shared" si="1"/>
        <v>PASS</v>
      </c>
    </row>
    <row r="9" spans="1:6" ht="15" customHeight="1" x14ac:dyDescent="0.25">
      <c r="A9" s="7" t="s">
        <v>46</v>
      </c>
      <c r="B9" s="7" t="s">
        <v>48</v>
      </c>
      <c r="C9" s="9">
        <v>29.4</v>
      </c>
      <c r="D9" s="10">
        <f>Pair_Computation!U10</f>
        <v>29.4</v>
      </c>
      <c r="E9" s="7">
        <f t="shared" si="0"/>
        <v>0</v>
      </c>
      <c r="F9" s="7" t="str">
        <f t="shared" si="1"/>
        <v>PASS</v>
      </c>
    </row>
    <row r="10" spans="1:6" ht="15" customHeight="1" x14ac:dyDescent="0.25">
      <c r="A10" s="7" t="s">
        <v>46</v>
      </c>
      <c r="B10" s="7" t="s">
        <v>49</v>
      </c>
      <c r="C10" s="9">
        <v>14.7</v>
      </c>
      <c r="D10" s="10">
        <f>Pair_Computation!U11</f>
        <v>14.7</v>
      </c>
      <c r="E10" s="7">
        <f t="shared" si="0"/>
        <v>0</v>
      </c>
      <c r="F10" s="7" t="str">
        <f t="shared" si="1"/>
        <v>PASS</v>
      </c>
    </row>
    <row r="11" spans="1:6" ht="15" customHeight="1" x14ac:dyDescent="0.25">
      <c r="A11" s="7" t="s">
        <v>46</v>
      </c>
      <c r="B11" s="7" t="s">
        <v>50</v>
      </c>
      <c r="C11" s="9">
        <v>23.5</v>
      </c>
      <c r="D11" s="10">
        <f>Pair_Computation!U12</f>
        <v>23.5</v>
      </c>
      <c r="E11" s="7">
        <f t="shared" si="0"/>
        <v>0</v>
      </c>
      <c r="F11" s="7" t="str">
        <f t="shared" si="1"/>
        <v>PASS</v>
      </c>
    </row>
    <row r="12" spans="1:6" ht="15" customHeight="1" x14ac:dyDescent="0.25">
      <c r="A12" s="7" t="s">
        <v>46</v>
      </c>
      <c r="B12" s="7" t="s">
        <v>51</v>
      </c>
      <c r="C12" s="9">
        <v>38.200000000000003</v>
      </c>
      <c r="D12" s="10">
        <f>Pair_Computation!U13</f>
        <v>38.200000000000003</v>
      </c>
      <c r="E12" s="7">
        <f t="shared" si="0"/>
        <v>0</v>
      </c>
      <c r="F12" s="7" t="str">
        <f t="shared" si="1"/>
        <v>PASS</v>
      </c>
    </row>
    <row r="13" spans="1:6" ht="15" customHeight="1" x14ac:dyDescent="0.25">
      <c r="A13" s="7" t="s">
        <v>46</v>
      </c>
      <c r="B13" s="7" t="s">
        <v>52</v>
      </c>
      <c r="C13" s="9">
        <v>88.2</v>
      </c>
      <c r="D13" s="10">
        <f>Pair_Computation!U14</f>
        <v>88.2</v>
      </c>
      <c r="E13" s="7">
        <f t="shared" si="0"/>
        <v>0</v>
      </c>
      <c r="F13" s="7" t="str">
        <f t="shared" si="1"/>
        <v>PASS</v>
      </c>
    </row>
    <row r="14" spans="1:6" ht="15" customHeight="1" x14ac:dyDescent="0.25">
      <c r="A14" s="7" t="s">
        <v>46</v>
      </c>
      <c r="B14" s="7" t="s">
        <v>53</v>
      </c>
      <c r="C14" s="9">
        <v>38.200000000000003</v>
      </c>
      <c r="D14" s="10">
        <f>Pair_Computation!U15</f>
        <v>38.200000000000003</v>
      </c>
      <c r="E14" s="7">
        <f t="shared" si="0"/>
        <v>0</v>
      </c>
      <c r="F14" s="7" t="str">
        <f t="shared" si="1"/>
        <v>PASS</v>
      </c>
    </row>
    <row r="15" spans="1:6" ht="15" customHeight="1" x14ac:dyDescent="0.25">
      <c r="A15" s="7" t="s">
        <v>48</v>
      </c>
      <c r="B15" s="7" t="s">
        <v>49</v>
      </c>
      <c r="C15" s="9">
        <v>67.599999999999994</v>
      </c>
      <c r="D15" s="10">
        <f>Pair_Computation!U17</f>
        <v>67.599999999999994</v>
      </c>
      <c r="E15" s="7">
        <f t="shared" si="0"/>
        <v>0</v>
      </c>
      <c r="F15" s="7" t="str">
        <f t="shared" si="1"/>
        <v>PASS</v>
      </c>
    </row>
    <row r="16" spans="1:6" ht="15" customHeight="1" x14ac:dyDescent="0.25">
      <c r="A16" s="7" t="s">
        <v>48</v>
      </c>
      <c r="B16" s="7" t="s">
        <v>50</v>
      </c>
      <c r="C16" s="9">
        <v>76.5</v>
      </c>
      <c r="D16" s="10">
        <f>Pair_Computation!U18</f>
        <v>76.5</v>
      </c>
      <c r="E16" s="7">
        <f t="shared" si="0"/>
        <v>0</v>
      </c>
      <c r="F16" s="7" t="str">
        <f t="shared" si="1"/>
        <v>PASS</v>
      </c>
    </row>
    <row r="17" spans="1:6" ht="15" customHeight="1" x14ac:dyDescent="0.25">
      <c r="A17" s="7" t="s">
        <v>48</v>
      </c>
      <c r="B17" s="7" t="s">
        <v>51</v>
      </c>
      <c r="C17" s="9">
        <v>79.400000000000006</v>
      </c>
      <c r="D17" s="10">
        <f>Pair_Computation!U19</f>
        <v>79.400000000000006</v>
      </c>
      <c r="E17" s="7">
        <f t="shared" si="0"/>
        <v>0</v>
      </c>
      <c r="F17" s="7" t="str">
        <f t="shared" si="1"/>
        <v>PASS</v>
      </c>
    </row>
    <row r="18" spans="1:6" ht="15" customHeight="1" x14ac:dyDescent="0.25">
      <c r="A18" s="7" t="s">
        <v>48</v>
      </c>
      <c r="B18" s="7" t="s">
        <v>52</v>
      </c>
      <c r="C18" s="9">
        <v>23.5</v>
      </c>
      <c r="D18" s="10">
        <f>Pair_Computation!U20</f>
        <v>23.5</v>
      </c>
      <c r="E18" s="7">
        <f t="shared" si="0"/>
        <v>0</v>
      </c>
      <c r="F18" s="7" t="str">
        <f t="shared" si="1"/>
        <v>PASS</v>
      </c>
    </row>
    <row r="19" spans="1:6" ht="15" customHeight="1" x14ac:dyDescent="0.25">
      <c r="A19" s="7" t="s">
        <v>48</v>
      </c>
      <c r="B19" s="7" t="s">
        <v>53</v>
      </c>
      <c r="C19" s="9">
        <v>61.8</v>
      </c>
      <c r="D19" s="10">
        <f>Pair_Computation!U21</f>
        <v>61.8</v>
      </c>
      <c r="E19" s="7">
        <f t="shared" si="0"/>
        <v>0</v>
      </c>
      <c r="F19" s="7" t="str">
        <f t="shared" si="1"/>
        <v>PASS</v>
      </c>
    </row>
    <row r="20" spans="1:6" ht="15" customHeight="1" x14ac:dyDescent="0.25">
      <c r="A20" s="7" t="s">
        <v>49</v>
      </c>
      <c r="B20" s="7" t="s">
        <v>50</v>
      </c>
      <c r="C20" s="9">
        <v>91.2</v>
      </c>
      <c r="D20" s="10">
        <f>Pair_Computation!U23</f>
        <v>91.2</v>
      </c>
      <c r="E20" s="7">
        <f t="shared" si="0"/>
        <v>0</v>
      </c>
      <c r="F20" s="7" t="str">
        <f t="shared" si="1"/>
        <v>PASS</v>
      </c>
    </row>
    <row r="21" spans="1:6" ht="15" customHeight="1" x14ac:dyDescent="0.25">
      <c r="A21" s="7" t="s">
        <v>49</v>
      </c>
      <c r="B21" s="7" t="s">
        <v>51</v>
      </c>
      <c r="C21" s="9">
        <v>58.8</v>
      </c>
      <c r="D21" s="10">
        <f>Pair_Computation!U24</f>
        <v>58.8</v>
      </c>
      <c r="E21" s="7">
        <f t="shared" si="0"/>
        <v>0</v>
      </c>
      <c r="F21" s="7" t="str">
        <f t="shared" si="1"/>
        <v>PASS</v>
      </c>
    </row>
    <row r="22" spans="1:6" ht="15" customHeight="1" x14ac:dyDescent="0.25">
      <c r="A22" s="7" t="s">
        <v>49</v>
      </c>
      <c r="B22" s="7" t="s">
        <v>52</v>
      </c>
      <c r="C22" s="9">
        <v>14.7</v>
      </c>
      <c r="D22" s="10">
        <f>Pair_Computation!U25</f>
        <v>14.7</v>
      </c>
      <c r="E22" s="7">
        <f t="shared" si="0"/>
        <v>0</v>
      </c>
      <c r="F22" s="7" t="str">
        <f t="shared" si="1"/>
        <v>PASS</v>
      </c>
    </row>
    <row r="23" spans="1:6" ht="15" customHeight="1" x14ac:dyDescent="0.25">
      <c r="A23" s="7" t="s">
        <v>49</v>
      </c>
      <c r="B23" s="7" t="s">
        <v>53</v>
      </c>
      <c r="C23" s="9">
        <v>76.5</v>
      </c>
      <c r="D23" s="10">
        <f>Pair_Computation!U26</f>
        <v>76.5</v>
      </c>
      <c r="E23" s="7">
        <f t="shared" si="0"/>
        <v>0</v>
      </c>
      <c r="F23" s="7" t="str">
        <f t="shared" si="1"/>
        <v>PASS</v>
      </c>
    </row>
    <row r="24" spans="1:6" ht="15" customHeight="1" x14ac:dyDescent="0.25">
      <c r="A24" s="7" t="s">
        <v>50</v>
      </c>
      <c r="B24" s="7" t="s">
        <v>51</v>
      </c>
      <c r="C24" s="9">
        <v>55.9</v>
      </c>
      <c r="D24" s="10">
        <f>Pair_Computation!U28</f>
        <v>55.9</v>
      </c>
      <c r="E24" s="7">
        <f t="shared" si="0"/>
        <v>0</v>
      </c>
      <c r="F24" s="7" t="str">
        <f t="shared" si="1"/>
        <v>PASS</v>
      </c>
    </row>
    <row r="25" spans="1:6" ht="15" customHeight="1" x14ac:dyDescent="0.25">
      <c r="A25" s="7" t="s">
        <v>50</v>
      </c>
      <c r="B25" s="7" t="s">
        <v>52</v>
      </c>
      <c r="C25" s="9">
        <v>23.5</v>
      </c>
      <c r="D25" s="10">
        <f>Pair_Computation!U29</f>
        <v>23.5</v>
      </c>
      <c r="E25" s="7">
        <f t="shared" si="0"/>
        <v>0</v>
      </c>
      <c r="F25" s="7" t="str">
        <f t="shared" si="1"/>
        <v>PASS</v>
      </c>
    </row>
    <row r="26" spans="1:6" ht="15" customHeight="1" x14ac:dyDescent="0.25">
      <c r="A26" s="7" t="s">
        <v>50</v>
      </c>
      <c r="B26" s="7" t="s">
        <v>53</v>
      </c>
      <c r="C26" s="9">
        <v>73.5</v>
      </c>
      <c r="D26" s="10">
        <f>Pair_Computation!U30</f>
        <v>73.5</v>
      </c>
      <c r="E26" s="7">
        <f t="shared" si="0"/>
        <v>0</v>
      </c>
      <c r="F26" s="7" t="str">
        <f t="shared" si="1"/>
        <v>PASS</v>
      </c>
    </row>
    <row r="27" spans="1:6" ht="15" customHeight="1" x14ac:dyDescent="0.25">
      <c r="A27" s="7" t="s">
        <v>51</v>
      </c>
      <c r="B27" s="7" t="s">
        <v>52</v>
      </c>
      <c r="C27" s="9">
        <v>32.4</v>
      </c>
      <c r="D27" s="10">
        <f>Pair_Computation!U32</f>
        <v>32.4</v>
      </c>
      <c r="E27" s="7">
        <f t="shared" si="0"/>
        <v>0</v>
      </c>
      <c r="F27" s="7" t="str">
        <f t="shared" si="1"/>
        <v>PASS</v>
      </c>
    </row>
    <row r="28" spans="1:6" ht="15" customHeight="1" x14ac:dyDescent="0.25">
      <c r="A28" s="7" t="s">
        <v>51</v>
      </c>
      <c r="B28" s="7" t="s">
        <v>53</v>
      </c>
      <c r="C28" s="9">
        <v>58.8</v>
      </c>
      <c r="D28" s="10">
        <f>Pair_Computation!U33</f>
        <v>58.8</v>
      </c>
      <c r="E28" s="7">
        <f t="shared" si="0"/>
        <v>0</v>
      </c>
      <c r="F28" s="7" t="str">
        <f t="shared" si="1"/>
        <v>PASS</v>
      </c>
    </row>
    <row r="29" spans="1:6" ht="15" customHeight="1" x14ac:dyDescent="0.25">
      <c r="A29" s="7" t="s">
        <v>52</v>
      </c>
      <c r="B29" s="7" t="s">
        <v>53</v>
      </c>
      <c r="C29" s="9">
        <v>38.200000000000003</v>
      </c>
      <c r="D29" s="10">
        <f>Pair_Computation!U35</f>
        <v>38.200000000000003</v>
      </c>
      <c r="E29" s="7">
        <f t="shared" si="0"/>
        <v>0</v>
      </c>
      <c r="F29" s="7" t="str">
        <f t="shared" si="1"/>
        <v>PASS</v>
      </c>
    </row>
    <row r="30" spans="1:6" ht="15" customHeight="1" x14ac:dyDescent="0.25">
      <c r="E30" s="4" t="s">
        <v>68</v>
      </c>
      <c r="F30" s="4" t="str">
        <f>COUNTIF(F2:F29,"PASS")&amp;" / 28"</f>
        <v>28 / 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zoomScaleNormal="100" workbookViewId="0"/>
  </sheetViews>
  <sheetFormatPr defaultColWidth="8.7109375" defaultRowHeight="15" x14ac:dyDescent="0.25"/>
  <cols>
    <col min="1" max="1" width="34" style="1" customWidth="1"/>
    <col min="2" max="2" width="110" style="1" customWidth="1"/>
  </cols>
  <sheetData>
    <row r="1" spans="1:2" ht="15" customHeight="1" x14ac:dyDescent="0.25">
      <c r="A1" s="2" t="s">
        <v>69</v>
      </c>
      <c r="B1" s="3" t="s">
        <v>70</v>
      </c>
    </row>
    <row r="2" spans="1:2" ht="26.25" customHeight="1" x14ac:dyDescent="0.25">
      <c r="A2" s="4" t="s">
        <v>71</v>
      </c>
      <c r="B2" s="3" t="s">
        <v>72</v>
      </c>
    </row>
    <row r="3" spans="1:2" ht="51.75" customHeight="1" x14ac:dyDescent="0.25">
      <c r="A3" s="4" t="s">
        <v>73</v>
      </c>
      <c r="B3" s="3" t="s">
        <v>74</v>
      </c>
    </row>
    <row r="4" spans="1:2" ht="26.25" customHeight="1" x14ac:dyDescent="0.25">
      <c r="A4" s="4" t="s">
        <v>75</v>
      </c>
      <c r="B4" s="3" t="s">
        <v>76</v>
      </c>
    </row>
    <row r="5" spans="1:2" ht="26.25" customHeight="1" x14ac:dyDescent="0.25">
      <c r="A5" s="4" t="s">
        <v>77</v>
      </c>
      <c r="B5" s="3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Method</vt:lpstr>
      <vt:lpstr>Net_Effect_Vectors</vt:lpstr>
      <vt:lpstr>Pair_Computation</vt:lpstr>
      <vt:lpstr>Reproduction_Test</vt:lpstr>
      <vt:lpstr>Interpretation_Caveats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Natalia Petyaeva</cp:lastModifiedBy>
  <cp:revision>0</cp:revision>
  <dcterms:created xsi:type="dcterms:W3CDTF">2026-06-10T04:24:18Z</dcterms:created>
  <dcterms:modified xsi:type="dcterms:W3CDTF">2026-06-10T20:01:44Z</dcterms:modified>
  <dc:language>en-US</dc:language>
</cp:coreProperties>
</file>