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CS_Valuation_Bridge" sheetId="1" state="visible" r:id="rId1"/>
    <sheet name="Benchmark_Library" sheetId="2" state="visible" r:id="rId2"/>
    <sheet name="Deal_Pricing_Calc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color theme="1"/>
      <sz val="11"/>
      <scheme val="minor"/>
    </font>
    <font>
      <name val="Arial"/>
      <b val="1"/>
      <color rgb="FFC9A84C"/>
      <sz val="12"/>
    </font>
    <font/>
    <font>
      <name val="Arial"/>
      <i val="1"/>
      <color rgb="FFFFFFFF"/>
      <sz val="8"/>
    </font>
    <font>
      <name val="Arial"/>
      <b val="1"/>
      <color rgb="FFFFD700"/>
      <sz val="9"/>
    </font>
    <font>
      <name val="Calibri"/>
      <color theme="1"/>
      <sz val="11"/>
    </font>
    <font>
      <name val="Arial"/>
      <b val="1"/>
      <color rgb="FFC9A84C"/>
      <sz val="9"/>
    </font>
    <font>
      <name val="Arial"/>
      <b val="1"/>
      <color rgb="FFFFFFFF"/>
      <sz val="9"/>
    </font>
    <font>
      <name val="Arial"/>
      <color rgb="FFFFFFFF"/>
      <sz val="9"/>
    </font>
    <font>
      <name val="Arial"/>
      <b val="1"/>
      <color rgb="FFFFFFFF"/>
      <sz val="8"/>
    </font>
    <font>
      <name val="Arial"/>
      <b val="1"/>
      <color rgb="FFFFD700"/>
      <sz val="8"/>
    </font>
    <font>
      <name val="Arial"/>
      <i val="1"/>
      <color rgb="FF555555"/>
      <sz val="8"/>
    </font>
    <font>
      <name val="Arial"/>
      <color theme="1"/>
      <sz val="9"/>
    </font>
    <font>
      <name val="Arial"/>
      <b val="1"/>
      <color rgb="FFC9A84C"/>
      <sz val="10"/>
    </font>
    <font>
      <name val="Arial"/>
      <b val="1"/>
      <color theme="1"/>
      <sz val="10"/>
    </font>
    <font>
      <name val="Arial"/>
      <b val="1"/>
      <color rgb="FF0000FF"/>
      <sz val="11"/>
    </font>
    <font>
      <name val="Arial"/>
      <i val="1"/>
      <color rgb="FF666666"/>
      <sz val="9"/>
    </font>
    <font>
      <name val="Calibri"/>
      <color theme="1"/>
      <scheme val="minor"/>
    </font>
    <font>
      <name val="Arial"/>
      <color rgb="FF000000"/>
      <sz val="10"/>
    </font>
    <font>
      <name val="Arial"/>
      <color rgb="FF000000"/>
      <sz val="11"/>
    </font>
    <font>
      <name val="Arial"/>
      <i val="1"/>
      <color rgb="FF000000"/>
      <sz val="9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i val="1"/>
      <color rgb="FFFFFFFF"/>
      <sz val="9"/>
    </font>
    <font>
      <name val="Arial"/>
      <i val="1"/>
      <color rgb="FF888888"/>
      <sz val="8"/>
    </font>
  </fonts>
  <fills count="17">
    <fill>
      <patternFill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1E3A5F"/>
        <bgColor rgb="FF1E3A5F"/>
      </patternFill>
    </fill>
    <fill>
      <patternFill patternType="solid">
        <fgColor rgb="FF3A0000"/>
        <bgColor rgb="FF3A0000"/>
      </patternFill>
    </fill>
    <fill>
      <patternFill patternType="solid">
        <fgColor rgb="FF1A7A4A"/>
        <bgColor rgb="FF1A7A4A"/>
      </patternFill>
    </fill>
    <fill>
      <patternFill patternType="solid">
        <fgColor rgb="FF2E7D32"/>
        <bgColor rgb="FF2E7D32"/>
      </patternFill>
    </fill>
    <fill>
      <patternFill patternType="solid">
        <fgColor rgb="FFB8860B"/>
        <bgColor rgb="FFB8860B"/>
      </patternFill>
    </fill>
    <fill>
      <patternFill patternType="solid">
        <fgColor rgb="FFCC4400"/>
        <bgColor rgb="FFCC4400"/>
      </patternFill>
    </fill>
    <fill>
      <patternFill patternType="solid">
        <fgColor rgb="FF7B0000"/>
        <bgColor rgb="FF7B0000"/>
      </patternFill>
    </fill>
    <fill>
      <patternFill patternType="solid">
        <fgColor rgb="FF3A2200"/>
        <bgColor rgb="FF3A2200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2F4F7"/>
        <bgColor rgb="FFF2F4F7"/>
      </patternFill>
    </fill>
    <fill>
      <patternFill patternType="solid">
        <fgColor rgb="FFEEF4FF"/>
        <bgColor rgb="FFEEF4FF"/>
      </patternFill>
    </fill>
    <fill>
      <patternFill patternType="solid">
        <fgColor rgb="FFFFF8E8"/>
        <bgColor rgb="FFFFF8E8"/>
      </patternFill>
    </fill>
    <fill>
      <patternFill patternType="solid">
        <fgColor rgb="FFFFFDF5"/>
        <bgColor rgb="FFFFFDF5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</borders>
  <cellStyleXfs count="1">
    <xf numFmtId="0" fontId="0" fillId="0" borderId="0"/>
  </cellStyleXfs>
  <cellXfs count="6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bottom"/>
    </xf>
    <xf numFmtId="0" fontId="6" fillId="3" borderId="4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left" vertical="center" wrapText="1"/>
    </xf>
    <xf numFmtId="0" fontId="9" fillId="5" borderId="4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left" vertical="center" wrapText="1"/>
    </xf>
    <xf numFmtId="0" fontId="7" fillId="8" borderId="4" applyAlignment="1" pivotButton="0" quotePrefix="0" xfId="0">
      <alignment horizontal="center" vertical="center" wrapText="1"/>
    </xf>
    <xf numFmtId="0" fontId="8" fillId="8" borderId="4" applyAlignment="1" pivotButton="0" quotePrefix="0" xfId="0">
      <alignment horizontal="center" vertical="center" wrapText="1"/>
    </xf>
    <xf numFmtId="0" fontId="8" fillId="8" borderId="4" applyAlignment="1" pivotButton="0" quotePrefix="0" xfId="0">
      <alignment horizontal="left" vertical="center" wrapText="1"/>
    </xf>
    <xf numFmtId="0" fontId="9" fillId="7" borderId="4" applyAlignment="1" pivotButton="0" quotePrefix="0" xfId="0">
      <alignment horizontal="center" vertical="center"/>
    </xf>
    <xf numFmtId="0" fontId="7" fillId="9" borderId="4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center" vertical="center" wrapText="1"/>
    </xf>
    <xf numFmtId="0" fontId="8" fillId="9" borderId="4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/>
    </xf>
    <xf numFmtId="0" fontId="12" fillId="12" borderId="4" applyAlignment="1" pivotButton="0" quotePrefix="0" xfId="0">
      <alignment horizontal="center" vertical="center" wrapText="1"/>
    </xf>
    <xf numFmtId="0" fontId="12" fillId="12" borderId="4" applyAlignment="1" pivotButton="0" quotePrefix="0" xfId="0">
      <alignment horizontal="left" vertical="center" wrapText="1"/>
    </xf>
    <xf numFmtId="0" fontId="12" fillId="13" borderId="4" applyAlignment="1" pivotButton="0" quotePrefix="0" xfId="0">
      <alignment horizontal="center" vertical="center" wrapText="1"/>
    </xf>
    <xf numFmtId="0" fontId="12" fillId="13" borderId="4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13" fillId="3" borderId="5" applyAlignment="1" pivotButton="0" quotePrefix="0" xfId="0">
      <alignment horizontal="left" vertical="center"/>
    </xf>
    <xf numFmtId="0" fontId="14" fillId="13" borderId="4" applyAlignment="1" pivotButton="0" quotePrefix="0" xfId="0">
      <alignment horizontal="left" vertical="center"/>
    </xf>
    <xf numFmtId="4" fontId="15" fillId="14" borderId="6" applyAlignment="1" pivotButton="0" quotePrefix="0" xfId="0">
      <alignment horizontal="center" vertical="center"/>
    </xf>
    <xf numFmtId="0" fontId="16" fillId="13" borderId="1" applyAlignment="1" pivotButton="0" quotePrefix="0" xfId="0">
      <alignment horizontal="left" vertical="center" wrapText="1"/>
    </xf>
    <xf numFmtId="0" fontId="17" fillId="0" borderId="0" pivotButton="0" quotePrefix="0" xfId="0"/>
    <xf numFmtId="0" fontId="15" fillId="14" borderId="5" applyAlignment="1" pivotButton="0" quotePrefix="0" xfId="0">
      <alignment horizontal="center" vertical="center"/>
    </xf>
    <xf numFmtId="0" fontId="18" fillId="15" borderId="4" applyAlignment="1" pivotButton="0" quotePrefix="0" xfId="0">
      <alignment horizontal="left" vertical="center"/>
    </xf>
    <xf numFmtId="4" fontId="19" fillId="15" borderId="4" applyAlignment="1" pivotButton="0" quotePrefix="0" xfId="0">
      <alignment horizontal="center" vertical="center"/>
    </xf>
    <xf numFmtId="0" fontId="20" fillId="15" borderId="1" applyAlignment="1" pivotButton="0" quotePrefix="0" xfId="0">
      <alignment horizontal="left" vertical="center" wrapText="1"/>
    </xf>
    <xf numFmtId="0" fontId="18" fillId="16" borderId="4" applyAlignment="1" pivotButton="0" quotePrefix="0" xfId="0">
      <alignment horizontal="left" vertical="center"/>
    </xf>
    <xf numFmtId="4" fontId="19" fillId="16" borderId="4" applyAlignment="1" pivotButton="0" quotePrefix="0" xfId="0">
      <alignment horizontal="center" vertical="center"/>
    </xf>
    <xf numFmtId="0" fontId="20" fillId="16" borderId="1" applyAlignment="1" pivotButton="0" quotePrefix="0" xfId="0">
      <alignment horizontal="left" vertical="center" wrapText="1"/>
    </xf>
    <xf numFmtId="0" fontId="21" fillId="3" borderId="4" applyAlignment="1" pivotButton="0" quotePrefix="0" xfId="0">
      <alignment horizontal="left" vertical="center"/>
    </xf>
    <xf numFmtId="4" fontId="22" fillId="3" borderId="4" applyAlignment="1" pivotButton="0" quotePrefix="0" xfId="0">
      <alignment horizontal="center" vertical="center"/>
    </xf>
    <xf numFmtId="0" fontId="23" fillId="3" borderId="1" applyAlignment="1" pivotButton="0" quotePrefix="0" xfId="0">
      <alignment horizontal="left" vertical="center" wrapText="1"/>
    </xf>
    <xf numFmtId="4" fontId="22" fillId="3" borderId="5" applyAlignment="1" pivotButton="0" quotePrefix="0" xfId="0">
      <alignment horizontal="center" vertical="center"/>
    </xf>
    <xf numFmtId="0" fontId="24" fillId="11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left" vertical="center" wrapText="1"/>
    </xf>
    <xf numFmtId="0" fontId="5" fillId="2" borderId="5" applyAlignment="1" pivotButton="0" quotePrefix="0" xfId="0">
      <alignment vertical="bottom"/>
    </xf>
    <xf numFmtId="0" fontId="10" fillId="10" borderId="5" applyAlignment="1" pivotButton="0" quotePrefix="0" xfId="0">
      <alignment horizontal="left" vertical="center" wrapText="1"/>
    </xf>
    <xf numFmtId="0" fontId="11" fillId="11" borderId="5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left" vertical="center" wrapText="1"/>
    </xf>
    <xf numFmtId="0" fontId="16" fillId="13" borderId="5" applyAlignment="1" pivotButton="0" quotePrefix="0" xfId="0">
      <alignment horizontal="left" vertical="center" wrapText="1"/>
    </xf>
    <xf numFmtId="0" fontId="20" fillId="15" borderId="5" applyAlignment="1" pivotButton="0" quotePrefix="0" xfId="0">
      <alignment horizontal="left" vertical="center" wrapText="1"/>
    </xf>
    <xf numFmtId="0" fontId="20" fillId="16" borderId="5" applyAlignment="1" pivotButton="0" quotePrefix="0" xfId="0">
      <alignment horizontal="left" vertical="center" wrapText="1"/>
    </xf>
    <xf numFmtId="0" fontId="23" fillId="3" borderId="5" applyAlignment="1" pivotButton="0" quotePrefix="0" xfId="0">
      <alignment horizontal="left" vertical="center" wrapText="1"/>
    </xf>
    <xf numFmtId="0" fontId="24" fillId="11" borderId="5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11" customWidth="1" style="50" min="1" max="1"/>
    <col width="10" customWidth="1" style="50" min="2" max="2"/>
    <col width="20" customWidth="1" style="50" min="3" max="3"/>
    <col width="13" customWidth="1" style="50" min="4" max="4"/>
    <col width="12" customWidth="1" style="50" min="5" max="6"/>
    <col width="14" customWidth="1" style="50" min="7" max="7"/>
    <col width="12" customWidth="1" style="50" min="8" max="8"/>
    <col width="13" customWidth="1" style="50" min="9" max="9"/>
    <col width="12" customWidth="1" style="50" min="10" max="10"/>
    <col width="13" customWidth="1" style="50" min="11" max="11"/>
    <col width="22" customWidth="1" style="50" min="12" max="13"/>
    <col width="12" customWidth="1" style="50" min="14" max="14"/>
    <col width="8.710000000000001" customWidth="1" style="50" min="15" max="26"/>
  </cols>
  <sheetData>
    <row r="1" ht="25.5" customHeight="1" s="50">
      <c r="A1" s="51" t="inlineStr">
        <is>
          <t>STRUCTURAL TYPOLOGY  |  ECS-to-Valuation Bridge  |  v1.1  |  April 2026  |  Scale corrected to 0–100 · 5 official bands · aligned to ST_Friction_Point_Lookup_updated.xlsx</t>
        </is>
      </c>
    </row>
    <row r="2" ht="19.5" customHeight="1" s="50">
      <c r="A2" s="52" t="inlineStr">
        <is>
          <t>SOURCE CHAIN  |  ST_Friction_Point_Lookup_updated.xlsx → ECS_Matrix (0–100) + Friction_Lookup (band labels)  →  ST_Agent_PostSurvey_Framework.xlsx (ECS delivery)  →  THIS FILE (valuation translation)  |  Benchmarks: McKinsey 2023 · Mercer 2023 · Stanton Chase 2024</t>
        </is>
      </c>
    </row>
    <row r="3" ht="19.5" customHeight="1" s="50">
      <c r="A3" s="53" t="inlineStr">
        <is>
          <t>WARNING  |  ECS input = Integration Destination x Target Current pair score (PostSurvey Block 1 output).  NOT acquirer current environment.  STP/STJ: ECS_Matrix not yet populated — see note row 11.</t>
        </is>
      </c>
    </row>
    <row r="4" ht="4.5" customHeight="1" s="50">
      <c r="A4" s="54" t="n"/>
    </row>
    <row r="5" ht="42" customHeight="1" s="50">
      <c r="A5" s="7" t="inlineStr">
        <is>
          <t>Official Band</t>
        </is>
      </c>
      <c r="B5" s="7" t="inlineStr">
        <is>
          <t>ECS Range
(0–100)</t>
        </is>
      </c>
      <c r="C5" s="7" t="inlineStr">
        <is>
          <t>ST Structural Description</t>
        </is>
      </c>
      <c r="D5" s="7" t="inlineStr">
        <is>
          <t>Discount to
EV Multiple</t>
        </is>
      </c>
      <c r="E5" s="7" t="inlineStr">
        <is>
          <t>Synergy
Capture</t>
        </is>
      </c>
      <c r="F5" s="7" t="inlineStr">
        <is>
          <t>Talent Flight
Risk</t>
        </is>
      </c>
      <c r="G5" s="7" t="inlineStr">
        <is>
          <t>Expected Key
Departures (12m)</t>
        </is>
      </c>
      <c r="H5" s="7" t="inlineStr">
        <is>
          <t>Cost per
Departure</t>
        </is>
      </c>
      <c r="I5" s="7" t="inlineStr">
        <is>
          <t>Est. Talent Loss
@ $500M deal</t>
        </is>
      </c>
      <c r="J5" s="7" t="inlineStr">
        <is>
          <t>Earn-Out
Failure Risk</t>
        </is>
      </c>
      <c r="K5" s="7" t="inlineStr">
        <is>
          <t>Earn-Out Exposure
@ $500M deal</t>
        </is>
      </c>
      <c r="L5" s="7" t="inlineStr">
        <is>
          <t>Protocol
Recommendation</t>
        </is>
      </c>
      <c r="M5" s="7" t="inlineStr">
        <is>
          <t>Public Anchor Case</t>
        </is>
      </c>
      <c r="N5" s="7" t="inlineStr">
        <is>
          <t>Confidence</t>
        </is>
      </c>
    </row>
    <row r="6" ht="57.75" customHeight="1" s="50">
      <c r="A6" s="8" t="inlineStr">
        <is>
          <t>HIGH COMPATIBILITY</t>
        </is>
      </c>
      <c r="B6" s="9" t="inlineStr">
        <is>
          <t>80 – 100</t>
        </is>
      </c>
      <c r="C6" s="10" t="inlineStr">
        <is>
          <t>Full alignment. Integration Destination
and Target operationally coherent.</t>
        </is>
      </c>
      <c r="D6" s="9" t="inlineStr">
        <is>
          <t>0% – 2%</t>
        </is>
      </c>
      <c r="E6" s="9" t="inlineStr">
        <is>
          <t>85% – 100%</t>
        </is>
      </c>
      <c r="F6" s="9" t="inlineStr">
        <is>
          <t>LOW</t>
        </is>
      </c>
      <c r="G6" s="9" t="inlineStr">
        <is>
          <t>0 – 1</t>
        </is>
      </c>
      <c r="H6" s="9" t="inlineStr">
        <is>
          <t>$0.5M – $2.0M</t>
        </is>
      </c>
      <c r="I6" s="9" t="inlineStr">
        <is>
          <t>$0M – $2M</t>
        </is>
      </c>
      <c r="J6" s="9" t="inlineStr">
        <is>
          <t>LOW</t>
        </is>
      </c>
      <c r="K6" s="9" t="inlineStr">
        <is>
          <t>$0M – $5M</t>
        </is>
      </c>
      <c r="L6" s="10" t="inlineStr">
        <is>
          <t>Standard integration protocol.
No structural intervention required.</t>
        </is>
      </c>
      <c r="M6" s="10" t="inlineStr">
        <is>
          <t>McKinsey: culture-aligned acquirers
+40% more likely to hit
cost synergy targets</t>
        </is>
      </c>
      <c r="N6" s="11" t="inlineStr">
        <is>
          <t>ESTABLISHED</t>
        </is>
      </c>
    </row>
    <row r="7" ht="57.75" customHeight="1" s="50">
      <c r="A7" s="12" t="inlineStr">
        <is>
          <t>MODERATE-HIGH</t>
        </is>
      </c>
      <c r="B7" s="13" t="inlineStr">
        <is>
          <t>65 – 79</t>
        </is>
      </c>
      <c r="C7" s="14" t="inlineStr">
        <is>
          <t>Workable. Minor friction zones.
Persona layer absorbs most gaps.</t>
        </is>
      </c>
      <c r="D7" s="13" t="inlineStr">
        <is>
          <t>2% – 7%</t>
        </is>
      </c>
      <c r="E7" s="13" t="inlineStr">
        <is>
          <t>65% – 84%</t>
        </is>
      </c>
      <c r="F7" s="13" t="inlineStr">
        <is>
          <t>LOW–MED</t>
        </is>
      </c>
      <c r="G7" s="13" t="inlineStr">
        <is>
          <t>1 – 2</t>
        </is>
      </c>
      <c r="H7" s="13" t="inlineStr">
        <is>
          <t>$1.0M – $3.0M</t>
        </is>
      </c>
      <c r="I7" s="13" t="inlineStr">
        <is>
          <t>$1M – $6M</t>
        </is>
      </c>
      <c r="J7" s="13" t="inlineStr">
        <is>
          <t>MEDIUM</t>
        </is>
      </c>
      <c r="K7" s="13" t="inlineStr">
        <is>
          <t>$5M – $20M</t>
        </is>
      </c>
      <c r="L7" s="14" t="inlineStr">
        <is>
          <t>Selective Integration Protocol.
Ring-fence 1–2 critical sub-units.</t>
        </is>
      </c>
      <c r="M7" s="14" t="inlineStr">
        <is>
          <t>Mercer: cultural issues cause
&gt;$1M loss in 70% of deals;
&gt;$5M in 25%</t>
        </is>
      </c>
      <c r="N7" s="11" t="inlineStr">
        <is>
          <t>ESTABLISHED</t>
        </is>
      </c>
    </row>
    <row r="8" ht="57.75" customHeight="1" s="50">
      <c r="A8" s="15" t="inlineStr">
        <is>
          <t>MODERATE</t>
        </is>
      </c>
      <c r="B8" s="16" t="inlineStr">
        <is>
          <t>50 – 64</t>
        </is>
      </c>
      <c r="C8" s="17" t="inlineStr">
        <is>
          <t>Active friction. Multiple resource conflicts
emerge Months 2–6. Manageable with protocol.</t>
        </is>
      </c>
      <c r="D8" s="16" t="inlineStr">
        <is>
          <t>7% – 15%</t>
        </is>
      </c>
      <c r="E8" s="16" t="inlineStr">
        <is>
          <t>40% – 64%</t>
        </is>
      </c>
      <c r="F8" s="16" t="inlineStr">
        <is>
          <t>MEDIUM</t>
        </is>
      </c>
      <c r="G8" s="16" t="inlineStr">
        <is>
          <t>2 – 4</t>
        </is>
      </c>
      <c r="H8" s="16" t="inlineStr">
        <is>
          <t>$1.5M – $4.0M</t>
        </is>
      </c>
      <c r="I8" s="16" t="inlineStr">
        <is>
          <t>$3M – $16M</t>
        </is>
      </c>
      <c r="J8" s="16" t="inlineStr">
        <is>
          <t>HIGH</t>
        </is>
      </c>
      <c r="K8" s="16" t="inlineStr">
        <is>
          <t>$15M – $50M</t>
        </is>
      </c>
      <c r="L8" s="17" t="inlineStr">
        <is>
          <t>Resource Hierarchy Quality Assessment
required pre-close.
Earn-out milestone review.</t>
        </is>
      </c>
      <c r="M8" s="17" t="inlineStr">
        <is>
          <t>Bain 2023: 75% of acquirers face
significant cultural challenges</t>
        </is>
      </c>
      <c r="N8" s="11" t="inlineStr">
        <is>
          <t>ESTABLISHED</t>
        </is>
      </c>
    </row>
    <row r="9" ht="57.75" customHeight="1" s="50">
      <c r="A9" s="18" t="inlineStr">
        <is>
          <t>MODERATE-LOW</t>
        </is>
      </c>
      <c r="B9" s="19" t="inlineStr">
        <is>
          <t>35 – 49</t>
        </is>
      </c>
      <c r="C9" s="20" t="inlineStr">
        <is>
          <t>Persona mask activated. Authentic / collaboration blocked. Departure risk / 6–18m.</t>
        </is>
      </c>
      <c r="D9" s="19" t="inlineStr">
        <is>
          <t>15% – 25%</t>
        </is>
      </c>
      <c r="E9" s="19" t="inlineStr">
        <is>
          <t>15% – 39%</t>
        </is>
      </c>
      <c r="F9" s="19" t="inlineStr">
        <is>
          <t>HIGH</t>
        </is>
      </c>
      <c r="G9" s="19" t="inlineStr">
        <is>
          <t>3 – 6</t>
        </is>
      </c>
      <c r="H9" s="19" t="inlineStr">
        <is>
          <t>$2.0M – $6.0M</t>
        </is>
      </c>
      <c r="I9" s="19" t="inlineStr">
        <is>
          <t>$6M – $36M</t>
        </is>
      </c>
      <c r="J9" s="19" t="inlineStr">
        <is>
          <t>VERY HIGH</t>
        </is>
      </c>
      <c r="K9" s="19" t="inlineStr">
        <is>
          <t>$40M – $100M</t>
        </is>
      </c>
      <c r="L9" s="20" t="inlineStr">
        <is>
          <t>Structural separation of leadership
layers mandatory.
Earn-out restructuring required.
Ring-Fence Architecture.</t>
        </is>
      </c>
      <c r="M9" s="20" t="inlineStr">
        <is>
          <t>DaimlerChrysler: $30B loss over 9 yrs;
$3B synergies never realised;
26,000 jobs cut</t>
        </is>
      </c>
      <c r="N9" s="21" t="inlineStr">
        <is>
          <t>DERIVABLE</t>
        </is>
      </c>
    </row>
    <row r="10" ht="57.75" customHeight="1" s="50">
      <c r="A10" s="22" t="inlineStr">
        <is>
          <t>HIGH RISK</t>
        </is>
      </c>
      <c r="B10" s="23" t="inlineStr">
        <is>
          <t>0 – 34</t>
        </is>
      </c>
      <c r="C10" s="24" t="inlineStr">
        <is>
          <t>Environment rejection.
Behavioural collapse within 12m.
No stable integration path.</t>
        </is>
      </c>
      <c r="D10" s="23" t="inlineStr">
        <is>
          <t>35% – 60%+</t>
        </is>
      </c>
      <c r="E10" s="23" t="inlineStr">
        <is>
          <t>0% – 14%</t>
        </is>
      </c>
      <c r="F10" s="23" t="inlineStr">
        <is>
          <t>EXTREME</t>
        </is>
      </c>
      <c r="G10" s="23" t="inlineStr">
        <is>
          <t>Full senior team</t>
        </is>
      </c>
      <c r="H10" s="23" t="inlineStr">
        <is>
          <t>$3.0M – $8.0M+</t>
        </is>
      </c>
      <c r="I10" s="23" t="inlineStr">
        <is>
          <t>$20M – $100M+</t>
        </is>
      </c>
      <c r="J10" s="23" t="inlineStr">
        <is>
          <t>EXTREME</t>
        </is>
      </c>
      <c r="K10" s="23" t="inlineStr">
        <is>
          <t>$100M – $400M+</t>
        </is>
      </c>
      <c r="L10" s="24" t="inlineStr">
        <is>
          <t>Renegotiate price or ABORT.
Full structural separation only.
No protocol mitigates this band.</t>
        </is>
      </c>
      <c r="M10" s="24" t="inlineStr">
        <is>
          <t>AOL–TimeWarner: $99B goodwill
write-off (2002);
cap $226B → $20B</t>
        </is>
      </c>
      <c r="N10" s="21" t="inlineStr">
        <is>
          <t>DERIVABLE</t>
        </is>
      </c>
    </row>
    <row r="11" ht="25.5" customHeight="1" s="50">
      <c r="A11" s="55" t="inlineStr">
        <is>
          <t>STP/STJ COVERAGE GAP (March 2026)  |  STP/STJ is the 9th environment. NOT present in ST_Friction_Point_Lookup_updated.xlsx → ECS_Matrix (8-environment set, 56 directed pairs only). Any deal involving STP/STJ cannot produce a validated ECS from this file. Use STP_STJ_Environment_Reference.xlsx for manual friction assessment and escalate to practitioner.</t>
        </is>
      </c>
    </row>
    <row r="12" ht="21.75" customHeight="1" s="50">
      <c r="A12" s="56" t="inlineStr">
        <is>
          <t>METHODOLOGY  |  Deal anchor = $500M EV.  Talent cost = 2–4x annual salary (Stanton Chase 2024).  Earn-out exposure calibrated to Mercer Cultural Integration Snapshot (2023).  Discount ranges ST-framework derived — not financial advice.</t>
        </is>
      </c>
    </row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6">
    <mergeCell ref="A3:N3"/>
    <mergeCell ref="A12:N12"/>
    <mergeCell ref="A4:N4"/>
    <mergeCell ref="A2:N2"/>
    <mergeCell ref="A11:N11"/>
    <mergeCell ref="A1:N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ColWidth="14.43" defaultRowHeight="15" customHeight="1"/>
  <cols>
    <col width="22" customWidth="1" style="50" min="1" max="1"/>
    <col width="8" customWidth="1" style="50" min="2" max="2"/>
    <col width="55" customWidth="1" style="50" min="3" max="3"/>
    <col width="18" customWidth="1" style="50" min="4" max="4"/>
    <col width="16" customWidth="1" style="50" min="5" max="5"/>
    <col width="30" customWidth="1" style="50" min="6" max="6"/>
    <col width="35" customWidth="1" style="50" min="7" max="7"/>
    <col width="8.710000000000001" customWidth="1" style="50" min="8" max="26"/>
  </cols>
  <sheetData>
    <row r="1" ht="25.5" customHeight="1" s="50">
      <c r="A1" s="51" t="inlineStr">
        <is>
          <t>PUBLIC BENCHMARK LIBRARY  |  M&amp;A Integration Failure Costs  |  ST Calibration Source</t>
        </is>
      </c>
    </row>
    <row r="2" ht="21.75" customHeight="1" s="50">
      <c r="A2" s="27" t="inlineStr">
        <is>
          <t>Source</t>
        </is>
      </c>
      <c r="B2" s="27" t="inlineStr">
        <is>
          <t>Year</t>
        </is>
      </c>
      <c r="C2" s="27" t="inlineStr">
        <is>
          <t>Finding</t>
        </is>
      </c>
      <c r="D2" s="27" t="inlineStr">
        <is>
          <t>Metric Type</t>
        </is>
      </c>
      <c r="E2" s="27" t="inlineStr">
        <is>
          <t>$ Value</t>
        </is>
      </c>
      <c r="F2" s="27" t="inlineStr">
        <is>
          <t>Relevance to ECS</t>
        </is>
      </c>
      <c r="G2" s="27" t="inlineStr">
        <is>
          <t>URL / Reference</t>
        </is>
      </c>
    </row>
    <row r="3" ht="39.75" customHeight="1" s="50">
      <c r="A3" s="28" t="inlineStr">
        <is>
          <t>McKinsey Global Survey on M&amp;A</t>
        </is>
      </c>
      <c r="B3" s="28" t="inlineStr">
        <is>
          <t>2023</t>
        </is>
      </c>
      <c r="C3" s="29" t="inlineStr">
        <is>
          <t>Lack of cultural fit and friction between acquirer and target are the most common reasons integrations fail to create value.</t>
        </is>
      </c>
      <c r="D3" s="28" t="inlineStr">
        <is>
          <t>Survey finding</t>
        </is>
      </c>
      <c r="E3" s="28" t="inlineStr">
        <is>
          <t>—</t>
        </is>
      </c>
      <c r="F3" s="29" t="inlineStr">
        <is>
          <t>Primary external validation for ECS compatibility ratings</t>
        </is>
      </c>
      <c r="G3" s="29" t="inlineStr">
        <is>
          <t>mckinsey.com/capabilities/m-and-a/our-insights</t>
        </is>
      </c>
    </row>
    <row r="4" ht="39.75" customHeight="1" s="50">
      <c r="A4" s="30" t="inlineStr">
        <is>
          <t>McKinsey M&amp;A Compendium</t>
        </is>
      </c>
      <c r="B4" s="30" t="inlineStr">
        <is>
          <t>2023</t>
        </is>
      </c>
      <c r="C4" s="31" t="inlineStr">
        <is>
          <t>Approximately 70% of mergers fail to achieve anticipated value.</t>
        </is>
      </c>
      <c r="D4" s="30" t="inlineStr">
        <is>
          <t>Failure rate</t>
        </is>
      </c>
      <c r="E4" s="30" t="inlineStr">
        <is>
          <t>70% of deals</t>
        </is>
      </c>
      <c r="F4" s="31" t="inlineStr">
        <is>
          <t>Baseline failure probability without behavioral due diligence</t>
        </is>
      </c>
      <c r="G4" s="31" t="inlineStr">
        <is>
          <t>mckinsey.com/capabilities/people-and-organizational-performance</t>
        </is>
      </c>
    </row>
    <row r="5" ht="39.75" customHeight="1" s="50">
      <c r="A5" s="28" t="inlineStr">
        <is>
          <t>McKinsey — Cultural Integration</t>
        </is>
      </c>
      <c r="B5" s="28" t="inlineStr">
        <is>
          <t>2024</t>
        </is>
      </c>
      <c r="C5" s="29" t="inlineStr">
        <is>
          <t>Companies managing culture effectively are 40% more likely to meet cost synergy targets and 70% more likely to meet revenue targets.</t>
        </is>
      </c>
      <c r="D5" s="28" t="inlineStr">
        <is>
          <t>Synergy uplift</t>
        </is>
      </c>
      <c r="E5" s="28" t="inlineStr">
        <is>
          <t>+40% cost / +70% revenue</t>
        </is>
      </c>
      <c r="F5" s="29" t="inlineStr">
        <is>
          <t>Calibration for NATURAL/FUNCTIONAL band synergy capture rates</t>
        </is>
      </c>
      <c r="G5" s="29" t="inlineStr">
        <is>
          <t>mckinsey.com/capabilities/m-and-a/our-insights/why-managing-culture</t>
        </is>
      </c>
    </row>
    <row r="6" ht="39.75" customHeight="1" s="50">
      <c r="A6" s="30" t="inlineStr">
        <is>
          <t>McKinsey M&amp;A Culture Compass</t>
        </is>
      </c>
      <c r="B6" s="30" t="inlineStr">
        <is>
          <t>2024</t>
        </is>
      </c>
      <c r="C6" s="31" t="inlineStr">
        <is>
          <t>44% of M&amp;A leaders cite cultural fit and friction as top reasons integrations fail.</t>
        </is>
      </c>
      <c r="D6" s="30" t="inlineStr">
        <is>
          <t>Survey finding</t>
        </is>
      </c>
      <c r="E6" s="30" t="inlineStr">
        <is>
          <t>44% of integrations</t>
        </is>
      </c>
      <c r="F6" s="31" t="inlineStr">
        <is>
          <t>Supports ECS STRESS/NEUROSIS band failure probability estimates</t>
        </is>
      </c>
      <c r="G6" s="31" t="inlineStr">
        <is>
          <t>mckinsey.com/capabilities/m-and-a/our-insights/the-culture-compass</t>
        </is>
      </c>
    </row>
    <row r="7" ht="39.75" customHeight="1" s="50">
      <c r="A7" s="28" t="inlineStr">
        <is>
          <t>Bain &amp; Company M&amp;A Report</t>
        </is>
      </c>
      <c r="B7" s="28" t="inlineStr">
        <is>
          <t>2023</t>
        </is>
      </c>
      <c r="C7" s="29" t="inlineStr">
        <is>
          <t>75% of acquirers face significant cultural challenges during integration.</t>
        </is>
      </c>
      <c r="D7" s="28" t="inlineStr">
        <is>
          <t>Survey finding</t>
        </is>
      </c>
      <c r="E7" s="28" t="inlineStr">
        <is>
          <t>75% of acquirers</t>
        </is>
      </c>
      <c r="F7" s="29" t="inlineStr">
        <is>
          <t>Validates RISK band as majority case, not outlier</t>
        </is>
      </c>
      <c r="G7" s="29" t="inlineStr">
        <is>
          <t>bain.com</t>
        </is>
      </c>
    </row>
    <row r="8" ht="39.75" customHeight="1" s="50">
      <c r="A8" s="30" t="inlineStr">
        <is>
          <t>Mercer Cultural Integration Snapshot Survey</t>
        </is>
      </c>
      <c r="B8" s="30" t="inlineStr">
        <is>
          <t>2023</t>
        </is>
      </c>
      <c r="C8" s="31" t="inlineStr">
        <is>
          <t>Cultural integration issues negatively impacted at least $1M of value in over 70% of cases; over $5M in nearly 25% of transactions.</t>
        </is>
      </c>
      <c r="D8" s="30" t="inlineStr">
        <is>
          <t>Dollar loss</t>
        </is>
      </c>
      <c r="E8" s="30" t="inlineStr">
        <is>
          <t>$1M+ in 70% / $5M+ in 25%</t>
        </is>
      </c>
      <c r="F8" s="31" t="inlineStr">
        <is>
          <t>Direct calibration for earn-out exposure estimates by ECS band</t>
        </is>
      </c>
      <c r="G8" s="31" t="inlineStr">
        <is>
          <t>mercer.com</t>
        </is>
      </c>
    </row>
    <row r="9" ht="39.75" customHeight="1" s="50">
      <c r="A9" s="28" t="inlineStr">
        <is>
          <t>Instill Research</t>
        </is>
      </c>
      <c r="B9" s="28" t="inlineStr">
        <is>
          <t>2024</t>
        </is>
      </c>
      <c r="C9" s="29" t="inlineStr">
        <is>
          <t>Up to 60% of M&amp;A failures post-close can be traced back to cultural misalignment.</t>
        </is>
      </c>
      <c r="D9" s="28" t="inlineStr">
        <is>
          <t>Failure attribution</t>
        </is>
      </c>
      <c r="E9" s="28" t="inlineStr">
        <is>
          <t>60% of post-close failures</t>
        </is>
      </c>
      <c r="F9" s="29" t="inlineStr">
        <is>
          <t>Supports behavioral due diligence as primary risk factor, not secondary</t>
        </is>
      </c>
      <c r="G9" s="29" t="inlineStr">
        <is>
          <t>instill.ai</t>
        </is>
      </c>
    </row>
    <row r="10" ht="39.75" customHeight="1" s="50">
      <c r="A10" s="30" t="inlineStr">
        <is>
          <t>Harvard Business Review</t>
        </is>
      </c>
      <c r="B10" s="30" t="inlineStr">
        <is>
          <t>2011</t>
        </is>
      </c>
      <c r="C10" s="31" t="inlineStr">
        <is>
          <t>M&amp;A failure rate stands between 70% and 90%.</t>
        </is>
      </c>
      <c r="D10" s="30" t="inlineStr">
        <is>
          <t>Failure rate</t>
        </is>
      </c>
      <c r="E10" s="30" t="inlineStr">
        <is>
          <t>70–90% of deals</t>
        </is>
      </c>
      <c r="F10" s="31" t="inlineStr">
        <is>
          <t>Upper-bound reference for STRESS/NEUROSIS/TOXIC band risk framing</t>
        </is>
      </c>
      <c r="G10" s="31" t="inlineStr">
        <is>
          <t>hbr.org — The New M&amp;A Playbook</t>
        </is>
      </c>
    </row>
    <row r="11" ht="39.75" customHeight="1" s="50">
      <c r="A11" s="28" t="inlineStr">
        <is>
          <t>DaimlerChrysler — Public Record</t>
        </is>
      </c>
      <c r="B11" s="28" t="inlineStr">
        <is>
          <t>1998–2007</t>
        </is>
      </c>
      <c r="C11" s="29" t="inlineStr">
        <is>
          <t>Merger purchased at $36B; sold Chrysler 9 years later for effectively $29B net loss. Synergies of $3B never materialized. 26,000 jobs cut.</t>
        </is>
      </c>
      <c r="D11" s="28" t="inlineStr">
        <is>
          <t>Case study</t>
        </is>
      </c>
      <c r="E11" s="28" t="inlineStr">
        <is>
          <t>$29–30B net loss</t>
        </is>
      </c>
      <c r="F11" s="29" t="inlineStr">
        <is>
          <t>ST case study anchor: STJ/NF environment clash at executive level</t>
        </is>
      </c>
      <c r="G11" s="29" t="inlineStr">
        <is>
          <t>Multiple SEC filings and public financial records</t>
        </is>
      </c>
    </row>
    <row r="12" ht="39.75" customHeight="1" s="50">
      <c r="A12" s="30" t="inlineStr">
        <is>
          <t>AOL–Time Warner — Public Record</t>
        </is>
      </c>
      <c r="B12" s="30" t="inlineStr">
        <is>
          <t>2001–2003</t>
        </is>
      </c>
      <c r="C12" s="31" t="inlineStr">
        <is>
          <t>Goodwill write-off of $99B in 2002 — largest in US corporate history at the time. AOL market cap dropped from $226B to ~$20B.</t>
        </is>
      </c>
      <c r="D12" s="30" t="inlineStr">
        <is>
          <t>Case study</t>
        </is>
      </c>
      <c r="E12" s="30" t="inlineStr">
        <is>
          <t>$99B goodwill impairment</t>
        </is>
      </c>
      <c r="F12" s="31" t="inlineStr">
        <is>
          <t>ST case study anchor: TOXIC-level environment incompatibility</t>
        </is>
      </c>
      <c r="G12" s="31" t="inlineStr">
        <is>
          <t>PBS NewsHour, Fortune, SEC 10-Q filings</t>
        </is>
      </c>
    </row>
    <row r="13" ht="39.75" customHeight="1" s="50">
      <c r="A13" s="28" t="inlineStr">
        <is>
          <t>Stanton Chase — Executive Replacement Study</t>
        </is>
      </c>
      <c r="B13" s="28" t="inlineStr">
        <is>
          <t>2024</t>
        </is>
      </c>
      <c r="C13" s="29" t="inlineStr">
        <is>
          <t>Cost to replace a C-suite executive estimated at 2–4× annual salary. CFO replacement: $2–4M (US). CEO replacement: $3.4–6.8M (EU).</t>
        </is>
      </c>
      <c r="D13" s="28" t="inlineStr">
        <is>
          <t>Replacement cost</t>
        </is>
      </c>
      <c r="E13" s="28" t="inlineStr">
        <is>
          <t>2–4× annual salary</t>
        </is>
      </c>
      <c r="F13" s="29" t="inlineStr">
        <is>
          <t>Calibration for talent departure cost per individual in ECS bridge</t>
        </is>
      </c>
      <c r="G13" s="29" t="inlineStr">
        <is>
          <t>stantonchase.com/insights</t>
        </is>
      </c>
    </row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1">
    <mergeCell ref="A1:G1"/>
  </mergeCell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9" topLeftCell="A10" activePane="bottomLeft" state="frozen"/>
      <selection pane="bottomLeft" activeCell="B11" sqref="B11"/>
    </sheetView>
  </sheetViews>
  <sheetFormatPr baseColWidth="8" defaultColWidth="14.43" defaultRowHeight="15" customHeight="1"/>
  <cols>
    <col width="42" customWidth="1" style="50" min="1" max="1"/>
    <col width="16" customWidth="1" style="50" min="2" max="2"/>
    <col width="50" customWidth="1" style="50" min="3" max="3"/>
    <col width="1" customWidth="1" style="50" min="4" max="6"/>
    <col width="16.43" customWidth="1" style="50" min="7" max="7"/>
    <col width="8.710000000000001" customWidth="1" style="50" min="8" max="26"/>
  </cols>
  <sheetData>
    <row r="1" ht="25.5" customHeight="1" s="50">
      <c r="A1" s="51" t="inlineStr">
        <is>
          <t>ST ECS — DEAL PRICING CALCULATOR  |  v1.1  |  ECS input from PostSurvey Block 1 output</t>
        </is>
      </c>
    </row>
    <row r="2" ht="18" customHeight="1" s="50">
      <c r="A2" s="57" t="inlineStr">
        <is>
          <t>SOURCE  |  ECS score: ST_Agent_PostSurvey_Framework.xlsx → Block 1 output  →  ST_Friction_Point_Lookup_updated.xlsx → ECS_Matrix (0–100, 8 environments).  STP/STJ: ECS_Matrix not populated — practitioner escalation required.</t>
        </is>
      </c>
    </row>
    <row r="3" ht="18" customHeight="1" s="50">
      <c r="A3" s="33" t="inlineStr">
        <is>
          <t>━━  INPUTS  (blue cells)  ━━</t>
        </is>
      </c>
    </row>
    <row r="4" ht="24" customHeight="1" s="50">
      <c r="A4" s="34" t="inlineStr">
        <is>
          <t>Deal EV ($M)</t>
        </is>
      </c>
      <c r="B4" s="35" t="n">
        <v>500</v>
      </c>
      <c r="C4" s="58" t="inlineStr">
        <is>
          <t>Total enterprise value of the transaction</t>
        </is>
      </c>
      <c r="G4" s="37" t="inlineStr">
        <is>
          <t>input</t>
        </is>
      </c>
    </row>
    <row r="5" ht="24" customHeight="1" s="50">
      <c r="A5" s="34" t="inlineStr">
        <is>
          <t>Base ECS Score  [PostSurvey Block 1 output — current pair]</t>
        </is>
      </c>
      <c r="B5" s="35" t="n">
        <v>38</v>
      </c>
      <c r="C5" s="58" t="inlineStr">
        <is>
          <t>From ST_Agent_PostSurvey_Framework.xlsx Block 1. Scale 0–100.</t>
        </is>
      </c>
      <c r="G5" s="37" t="inlineStr">
        <is>
          <t>Calculated</t>
        </is>
      </c>
    </row>
    <row r="6" ht="24" customHeight="1" s="50">
      <c r="A6" s="34" t="inlineStr">
        <is>
          <t>Potential ECS Score  [after protocol selection]</t>
        </is>
      </c>
      <c r="B6" s="35" t="n">
        <v>57</v>
      </c>
      <c r="C6" s="58" t="inlineStr">
        <is>
          <t>Projected ECS after selected protocol.</t>
        </is>
      </c>
      <c r="G6" s="37" t="inlineStr">
        <is>
          <t>Calculated</t>
        </is>
      </c>
    </row>
    <row r="7" ht="24" customHeight="1" s="50">
      <c r="A7" s="34" t="inlineStr">
        <is>
          <t>No. of Key Personnel at Risk</t>
        </is>
      </c>
      <c r="B7" s="35" t="n">
        <v>4</v>
      </c>
      <c r="C7" s="58" t="inlineStr">
        <is>
          <t>Senior scientists / C-suite / key operational leads at risk of departure</t>
        </is>
      </c>
      <c r="G7" s="37" t="inlineStr">
        <is>
          <t>Calculated</t>
        </is>
      </c>
    </row>
    <row r="8" ht="24" customHeight="1" s="50">
      <c r="A8" s="34" t="inlineStr">
        <is>
          <t>Avg Annual Compensation per Person ($M)</t>
        </is>
      </c>
      <c r="B8" s="38" t="n">
        <v>1</v>
      </c>
      <c r="C8" s="58" t="inlineStr">
        <is>
          <t>REQUIRED INPUT — replace per engagement. Default = $1.0M. Range: $0.3M–$0.5M (senior staff) | $0.5M–$1.0M (VP/Director) | $1.5M–$2.0M (C-suite). Source: Stanton Chase 2024.</t>
        </is>
      </c>
      <c r="G8" s="37" t="inlineStr">
        <is>
          <t>Input</t>
        </is>
      </c>
    </row>
    <row r="9" ht="18" customHeight="1" s="50">
      <c r="A9" s="33" t="inlineStr">
        <is>
          <t>━━  OUTPUTS  (live formulas)  ━━</t>
        </is>
      </c>
    </row>
    <row r="10" ht="24" customHeight="1" s="50">
      <c r="A10" s="39" t="inlineStr">
        <is>
          <t>ECS Delta (Potential minus Base)</t>
        </is>
      </c>
      <c r="B10" s="40">
        <f>B6-B5</f>
        <v/>
      </c>
      <c r="C10" s="59" t="inlineStr">
        <is>
          <t>Potential-minus-base ECS delta. Documents protocol value.</t>
        </is>
      </c>
      <c r="G10" s="37" t="inlineStr">
        <is>
          <t>Calculated</t>
        </is>
      </c>
    </row>
    <row r="11" ht="24" customHeight="1" s="50">
      <c r="A11" s="42" t="inlineStr">
        <is>
          <t>EV Discount — Low ($M)</t>
        </is>
      </c>
      <c r="B11" s="43">
        <f>B4*0.15</f>
        <v/>
      </c>
      <c r="C11" s="60" t="inlineStr">
        <is>
          <t>MODERATE-LOW band low: 15%. Stacking anchor.</t>
        </is>
      </c>
      <c r="G11" s="37" t="inlineStr">
        <is>
          <t>Calculated</t>
        </is>
      </c>
    </row>
    <row r="12" ht="24" customHeight="1" s="50">
      <c r="A12" s="39" t="inlineStr">
        <is>
          <t>EV Discount — High ($M)</t>
        </is>
      </c>
      <c r="B12" s="40">
        <f>B4*0.25</f>
        <v/>
      </c>
      <c r="C12" s="59" t="inlineStr">
        <is>
          <t>MODERATE-LOW band high: 25%. Upper bound.</t>
        </is>
      </c>
      <c r="G12" s="37" t="inlineStr">
        <is>
          <t>Calculated</t>
        </is>
      </c>
    </row>
    <row r="13" ht="24" customHeight="1" s="50">
      <c r="A13" s="42" t="inlineStr">
        <is>
          <t>Discounted EV — Low ($M)</t>
        </is>
      </c>
      <c r="B13" s="43">
        <f>B4-B11</f>
        <v/>
      </c>
      <c r="C13" s="60" t="inlineStr">
        <is>
          <t>Price after low discount applied.</t>
        </is>
      </c>
      <c r="G13" s="37" t="inlineStr">
        <is>
          <t>Calculated</t>
        </is>
      </c>
    </row>
    <row r="14" ht="24" customHeight="1" s="50">
      <c r="A14" s="39" t="inlineStr">
        <is>
          <t>Discounted EV — High ($M)</t>
        </is>
      </c>
      <c r="B14" s="40">
        <f>B4-B12</f>
        <v/>
      </c>
      <c r="C14" s="59" t="inlineStr">
        <is>
          <t>Price after high discount applied.</t>
        </is>
      </c>
      <c r="G14" s="37" t="inlineStr">
        <is>
          <t>Calculated</t>
        </is>
      </c>
    </row>
    <row r="15" ht="24" customHeight="1" s="50">
      <c r="A15" s="42" t="inlineStr">
        <is>
          <t>Synergy Capture — Low (%)</t>
        </is>
      </c>
      <c r="B15" s="43">
        <f>0.15</f>
        <v/>
      </c>
      <c r="C15" s="60" t="inlineStr">
        <is>
          <t>MODERATE-LOW: 15% synergy floor.</t>
        </is>
      </c>
      <c r="G15" s="37" t="inlineStr">
        <is>
          <t>Calculated</t>
        </is>
      </c>
    </row>
    <row r="16" ht="24" customHeight="1" s="50">
      <c r="A16" s="39" t="inlineStr">
        <is>
          <t>Synergy Capture — High (%)</t>
        </is>
      </c>
      <c r="B16" s="40">
        <f>0.39</f>
        <v/>
      </c>
      <c r="C16" s="59" t="inlineStr">
        <is>
          <t>MODERATE-LOW: 39% ceiling. Rises 40–64% at MODERATE.</t>
        </is>
      </c>
      <c r="G16" s="37" t="inlineStr">
        <is>
          <t>Calculated</t>
        </is>
      </c>
    </row>
    <row r="17" ht="24" customHeight="1" s="50">
      <c r="A17" s="42" t="inlineStr">
        <is>
          <t>Talent Cost — Low ($M)</t>
        </is>
      </c>
      <c r="B17" s="43">
        <f>B7*B8*2</f>
        <v/>
      </c>
      <c r="C17" s="60" t="inlineStr">
        <is>
          <t>2x annual comp per departure (Stanton Chase).</t>
        </is>
      </c>
      <c r="G17" s="37" t="inlineStr">
        <is>
          <t>Calculated</t>
        </is>
      </c>
    </row>
    <row r="18" ht="24" customHeight="1" s="50">
      <c r="A18" s="39" t="inlineStr">
        <is>
          <t>Talent Cost — High ($M)</t>
        </is>
      </c>
      <c r="B18" s="40">
        <f>B7*B8*4</f>
        <v/>
      </c>
      <c r="C18" s="59" t="inlineStr">
        <is>
          <t>4x annual comp per departure (C-suite ceiling).</t>
        </is>
      </c>
      <c r="G18" s="37" t="inlineStr">
        <is>
          <t>Calculated</t>
        </is>
      </c>
    </row>
    <row r="19" ht="24" customHeight="1" s="50">
      <c r="A19" s="42" t="inlineStr">
        <is>
          <t>Earn-Out Exposure — Low ($M)</t>
        </is>
      </c>
      <c r="B19" s="43">
        <f>B4*0.08</f>
        <v/>
      </c>
      <c r="C19" s="60" t="inlineStr">
        <is>
          <t>8% EV. Mercer: &gt;$1M loss in 70% of deals.</t>
        </is>
      </c>
      <c r="G19" s="37" t="inlineStr">
        <is>
          <t>Calculated</t>
        </is>
      </c>
    </row>
    <row r="20" ht="24" customHeight="1" s="50">
      <c r="A20" s="39" t="inlineStr">
        <is>
          <t>Earn-Out Exposure — High ($M)</t>
        </is>
      </c>
      <c r="B20" s="40">
        <f>B4*0.2</f>
        <v/>
      </c>
      <c r="C20" s="59" t="inlineStr">
        <is>
          <t>20% EV. Mercer &gt;$5M in 25% scaled to deal size.</t>
        </is>
      </c>
      <c r="G20" s="37" t="inlineStr">
        <is>
          <t>Calculated</t>
        </is>
      </c>
    </row>
    <row r="21" ht="24" customHeight="1" s="50">
      <c r="A21" s="45" t="inlineStr">
        <is>
          <t>TOTAL RISK ENVELOPE — Low ($M)</t>
        </is>
      </c>
      <c r="B21" s="46">
        <f>B11+B17+B19</f>
        <v/>
      </c>
      <c r="C21" s="61" t="inlineStr">
        <is>
          <t>Discount + talent + earn-out. Conservative floor.</t>
        </is>
      </c>
    </row>
    <row r="22" ht="24" customHeight="1" s="50">
      <c r="A22" s="45" t="inlineStr">
        <is>
          <t>TOTAL RISK ENVELOPE — High ($M)</t>
        </is>
      </c>
      <c r="B22" s="48">
        <f>B12+B18+B20</f>
        <v/>
      </c>
      <c r="C22" s="61" t="inlineStr">
        <is>
          <t>Discount + talent + earn-out. Upper bound.</t>
        </is>
      </c>
    </row>
    <row r="23" ht="15.75" customHeight="1" s="50"/>
    <row r="24" ht="30" customHeight="1" s="50">
      <c r="A24" s="62" t="inlineStr">
        <is>
          <t>DISCLAIMER  |  Order-of-magnitude estimates only. Not financial advice. Adjust % inputs from ECS_Valuation_Bridge sheet if ECS falls in a different band.</t>
        </is>
      </c>
    </row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23">
    <mergeCell ref="C17:F17"/>
    <mergeCell ref="C8:F8"/>
    <mergeCell ref="C7:F7"/>
    <mergeCell ref="C19:F19"/>
    <mergeCell ref="C13:F13"/>
    <mergeCell ref="A2:F2"/>
    <mergeCell ref="C18:F18"/>
    <mergeCell ref="C3:F3"/>
    <mergeCell ref="C6:F6"/>
    <mergeCell ref="C15:F15"/>
    <mergeCell ref="C5:F5"/>
    <mergeCell ref="C14:F14"/>
    <mergeCell ref="C4:F4"/>
    <mergeCell ref="C20:F20"/>
    <mergeCell ref="C16:F16"/>
    <mergeCell ref="C10:F10"/>
    <mergeCell ref="C22:F22"/>
    <mergeCell ref="A24:F24"/>
    <mergeCell ref="C9:F9"/>
    <mergeCell ref="A1:F1"/>
    <mergeCell ref="C12:F12"/>
    <mergeCell ref="C21:F21"/>
    <mergeCell ref="C11:F1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2026-04-13T21:38:42Z</dcterms:created>
  <dcterms:modified xsi:type="dcterms:W3CDTF">2026-06-14T18:12:07Z</dcterms:modified>
</cp:coreProperties>
</file>